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rdusa/work/crycos/AlignAICommunity/"/>
    </mc:Choice>
  </mc:AlternateContent>
  <xr:revisionPtr revIDLastSave="0" documentId="13_ncr:1_{98AEB4A3-E5A1-9641-A773-EF7EDC2C3713}" xr6:coauthVersionLast="47" xr6:coauthVersionMax="47" xr10:uidLastSave="{00000000-0000-0000-0000-000000000000}"/>
  <bookViews>
    <workbookView xWindow="0" yWindow="660" windowWidth="29400" windowHeight="17320" activeTab="1" xr2:uid="{00000000-000D-0000-FFFF-FFFF00000000}"/>
  </bookViews>
  <sheets>
    <sheet name="Dashboard" sheetId="1" r:id="rId1"/>
    <sheet name="AI Inventory" sheetId="2" r:id="rId2"/>
    <sheet name="Profiles" sheetId="3" r:id="rId3"/>
    <sheet name="Profile Selection" sheetId="4" r:id="rId4"/>
    <sheet name="Risk Assessment" sheetId="5" r:id="rId5"/>
    <sheet name="Risk &amp; Harm Assessment" sheetId="6" r:id="rId6"/>
    <sheet name="Data &amp; Privacy" sheetId="7" r:id="rId7"/>
    <sheet name="Vendor &amp; Security" sheetId="8" r:id="rId8"/>
    <sheet name="Legal &amp; Compliance" sheetId="9" r:id="rId9"/>
    <sheet name="Approval Workflow" sheetId="10" r:id="rId10"/>
    <sheet name="Monitoring" sheetId="11" r:id="rId11"/>
    <sheet name="Reference List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A10" i="5"/>
  <c r="B9" i="5"/>
  <c r="A9" i="5"/>
  <c r="B8" i="5"/>
  <c r="A8" i="5"/>
  <c r="N8" i="5" s="1"/>
  <c r="B7" i="5"/>
  <c r="A7" i="5"/>
  <c r="S7" i="5" s="1"/>
  <c r="B6" i="5"/>
  <c r="A6" i="5"/>
  <c r="B5" i="5"/>
  <c r="A5" i="5"/>
  <c r="C5" i="5" s="1"/>
  <c r="D5" i="5" s="1"/>
  <c r="B4" i="5"/>
  <c r="A4" i="5"/>
  <c r="N4" i="5" s="1"/>
  <c r="M10" i="10"/>
  <c r="B10" i="11"/>
  <c r="A10" i="11"/>
  <c r="B9" i="11"/>
  <c r="A9" i="11"/>
  <c r="P9" i="11" s="1"/>
  <c r="Q9" i="11" s="1"/>
  <c r="B8" i="11"/>
  <c r="A8" i="11"/>
  <c r="P8" i="11" s="1"/>
  <c r="Q8" i="11" s="1"/>
  <c r="B7" i="11"/>
  <c r="A7" i="11"/>
  <c r="B6" i="11"/>
  <c r="A6" i="11"/>
  <c r="B5" i="11"/>
  <c r="A5" i="11"/>
  <c r="P5" i="11" s="1"/>
  <c r="Q5" i="11" s="1"/>
  <c r="B4" i="11"/>
  <c r="A4" i="11"/>
  <c r="P4" i="11" s="1"/>
  <c r="Q4" i="11" s="1"/>
  <c r="B10" i="10"/>
  <c r="A10" i="10"/>
  <c r="B9" i="10"/>
  <c r="A9" i="10"/>
  <c r="O9" i="10" s="1"/>
  <c r="B8" i="10"/>
  <c r="A8" i="10"/>
  <c r="B7" i="10"/>
  <c r="A7" i="10"/>
  <c r="J7" i="10" s="1"/>
  <c r="B6" i="10"/>
  <c r="A6" i="10"/>
  <c r="B5" i="10"/>
  <c r="A5" i="10"/>
  <c r="J5" i="10" s="1"/>
  <c r="B4" i="10"/>
  <c r="A4" i="10"/>
  <c r="D4" i="10" s="1"/>
  <c r="B5" i="9"/>
  <c r="B6" i="9"/>
  <c r="B7" i="9"/>
  <c r="B8" i="9"/>
  <c r="B9" i="9"/>
  <c r="B10" i="9"/>
  <c r="B4" i="9"/>
  <c r="A10" i="9"/>
  <c r="A9" i="9"/>
  <c r="A8" i="9"/>
  <c r="A7" i="9"/>
  <c r="A6" i="9"/>
  <c r="A5" i="9"/>
  <c r="A4" i="9"/>
  <c r="B10" i="7"/>
  <c r="A10" i="7"/>
  <c r="B9" i="7"/>
  <c r="A9" i="7"/>
  <c r="B8" i="7"/>
  <c r="A8" i="7"/>
  <c r="B7" i="7"/>
  <c r="A7" i="7"/>
  <c r="E10" i="10" s="1"/>
  <c r="B6" i="7"/>
  <c r="A6" i="7"/>
  <c r="B5" i="7"/>
  <c r="A5" i="7"/>
  <c r="B4" i="7"/>
  <c r="A4" i="7"/>
  <c r="A5" i="8"/>
  <c r="B5" i="8"/>
  <c r="C5" i="8"/>
  <c r="A6" i="8"/>
  <c r="D8" i="10" s="1"/>
  <c r="B6" i="8"/>
  <c r="C6" i="8"/>
  <c r="A7" i="8"/>
  <c r="B7" i="8"/>
  <c r="C7" i="8"/>
  <c r="A8" i="8"/>
  <c r="B8" i="8"/>
  <c r="C8" i="8"/>
  <c r="A9" i="8"/>
  <c r="B9" i="8"/>
  <c r="C9" i="8"/>
  <c r="A10" i="8"/>
  <c r="B10" i="8"/>
  <c r="C10" i="8"/>
  <c r="C4" i="8"/>
  <c r="B4" i="8"/>
  <c r="A4" i="8"/>
  <c r="P10" i="11"/>
  <c r="Q10" i="11" s="1"/>
  <c r="N10" i="11"/>
  <c r="O10" i="11" s="1"/>
  <c r="N9" i="11"/>
  <c r="O9" i="11" s="1"/>
  <c r="N8" i="11"/>
  <c r="O8" i="11" s="1"/>
  <c r="P7" i="11"/>
  <c r="Q7" i="11" s="1"/>
  <c r="N7" i="11"/>
  <c r="O7" i="11" s="1"/>
  <c r="P6" i="11"/>
  <c r="Q6" i="11" s="1"/>
  <c r="N6" i="11"/>
  <c r="O6" i="11" s="1"/>
  <c r="N5" i="11"/>
  <c r="O5" i="11" s="1"/>
  <c r="N4" i="11"/>
  <c r="O4" i="11" s="1"/>
  <c r="O10" i="10"/>
  <c r="N10" i="10"/>
  <c r="L10" i="10"/>
  <c r="J10" i="10"/>
  <c r="N9" i="10"/>
  <c r="M9" i="10"/>
  <c r="L9" i="10"/>
  <c r="O8" i="10"/>
  <c r="N8" i="10"/>
  <c r="M8" i="10"/>
  <c r="L8" i="10"/>
  <c r="J8" i="10"/>
  <c r="N7" i="10"/>
  <c r="M7" i="10"/>
  <c r="L7" i="10"/>
  <c r="O6" i="10"/>
  <c r="N6" i="10"/>
  <c r="M6" i="10"/>
  <c r="L6" i="10"/>
  <c r="J6" i="10"/>
  <c r="O5" i="10"/>
  <c r="N5" i="10"/>
  <c r="M5" i="10"/>
  <c r="L5" i="10"/>
  <c r="D5" i="10"/>
  <c r="O4" i="10"/>
  <c r="N4" i="10"/>
  <c r="M4" i="10"/>
  <c r="L4" i="10"/>
  <c r="J4" i="10"/>
  <c r="E4" i="10"/>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J10" i="7"/>
  <c r="I10" i="7"/>
  <c r="H10" i="7"/>
  <c r="G10" i="7"/>
  <c r="D10" i="7" s="1"/>
  <c r="J9" i="7"/>
  <c r="D9" i="7" s="1"/>
  <c r="I9" i="7"/>
  <c r="H9" i="7"/>
  <c r="G9" i="7"/>
  <c r="J8" i="7"/>
  <c r="D8" i="7" s="1"/>
  <c r="I8" i="7"/>
  <c r="H8" i="7"/>
  <c r="G8" i="7"/>
  <c r="J7" i="7"/>
  <c r="I7" i="7"/>
  <c r="H7" i="7"/>
  <c r="G7" i="7"/>
  <c r="D7" i="7"/>
  <c r="J6" i="7"/>
  <c r="D6" i="7" s="1"/>
  <c r="I6" i="7"/>
  <c r="H6" i="7"/>
  <c r="G6" i="7"/>
  <c r="J5" i="7"/>
  <c r="I5" i="7"/>
  <c r="D5" i="7" s="1"/>
  <c r="H5" i="7"/>
  <c r="G5" i="7"/>
  <c r="J4" i="7"/>
  <c r="I4" i="7"/>
  <c r="D4" i="7" s="1"/>
  <c r="H4" i="7"/>
  <c r="G4" i="7"/>
  <c r="Z11" i="6"/>
  <c r="Y11" i="6"/>
  <c r="X11" i="6"/>
  <c r="W11" i="6"/>
  <c r="B11" i="6"/>
  <c r="A11" i="6"/>
  <c r="Z10" i="6"/>
  <c r="Y10" i="6"/>
  <c r="X10" i="6"/>
  <c r="W10" i="6"/>
  <c r="B10" i="6"/>
  <c r="A10" i="6"/>
  <c r="Z9" i="6"/>
  <c r="Y9" i="6"/>
  <c r="X9" i="6"/>
  <c r="W9" i="6"/>
  <c r="B9" i="6"/>
  <c r="A9" i="6"/>
  <c r="Z8" i="6"/>
  <c r="Y8" i="6"/>
  <c r="X8" i="6"/>
  <c r="W8" i="6"/>
  <c r="B8" i="6"/>
  <c r="A8" i="6"/>
  <c r="Z7" i="6"/>
  <c r="Y7" i="6"/>
  <c r="X7" i="6"/>
  <c r="W7" i="6"/>
  <c r="B7" i="6"/>
  <c r="A7" i="6"/>
  <c r="Z6" i="6"/>
  <c r="Y6" i="6"/>
  <c r="X6" i="6"/>
  <c r="W6" i="6"/>
  <c r="B6" i="6"/>
  <c r="A6" i="6"/>
  <c r="Z5" i="6"/>
  <c r="Y5" i="6"/>
  <c r="X5" i="6"/>
  <c r="W5" i="6"/>
  <c r="B5" i="6"/>
  <c r="A5" i="6"/>
  <c r="R10" i="5" s="1"/>
  <c r="N10" i="5"/>
  <c r="N9" i="5"/>
  <c r="P6" i="5"/>
  <c r="N6" i="5"/>
  <c r="N5" i="5"/>
  <c r="X11" i="2"/>
  <c r="W11" i="2"/>
  <c r="V11" i="2"/>
  <c r="U11" i="2"/>
  <c r="I11" i="2"/>
  <c r="H11" i="2"/>
  <c r="G10" i="10" s="1"/>
  <c r="H10" i="10" s="1"/>
  <c r="X10" i="2"/>
  <c r="W10" i="2"/>
  <c r="V10" i="2"/>
  <c r="U10" i="2"/>
  <c r="I10" i="2"/>
  <c r="H10" i="2"/>
  <c r="X9" i="2"/>
  <c r="W9" i="2"/>
  <c r="V9" i="2"/>
  <c r="U9" i="2"/>
  <c r="I9" i="2"/>
  <c r="H9" i="2"/>
  <c r="G8" i="10" s="1"/>
  <c r="H8" i="10" s="1"/>
  <c r="X8" i="2"/>
  <c r="W8" i="2"/>
  <c r="V8" i="2"/>
  <c r="U8" i="2"/>
  <c r="I8" i="2"/>
  <c r="H8" i="2"/>
  <c r="X7" i="2"/>
  <c r="W7" i="2"/>
  <c r="V7" i="2"/>
  <c r="U7" i="2"/>
  <c r="I7" i="2"/>
  <c r="H7" i="2"/>
  <c r="G6" i="10" s="1"/>
  <c r="H6" i="10" s="1"/>
  <c r="X6" i="2"/>
  <c r="W6" i="2"/>
  <c r="V6" i="2"/>
  <c r="U6" i="2"/>
  <c r="I6" i="2"/>
  <c r="H6" i="2"/>
  <c r="X5" i="2"/>
  <c r="W5" i="2"/>
  <c r="V5" i="2"/>
  <c r="U5" i="2"/>
  <c r="I5" i="2"/>
  <c r="H5" i="2"/>
  <c r="B47" i="1" s="1"/>
  <c r="B99" i="1"/>
  <c r="B98" i="1"/>
  <c r="B97" i="1"/>
  <c r="B96" i="1"/>
  <c r="B95" i="1"/>
  <c r="B94" i="1"/>
  <c r="B91" i="1"/>
  <c r="B90" i="1"/>
  <c r="B89" i="1"/>
  <c r="B88" i="1"/>
  <c r="B87" i="1"/>
  <c r="B86" i="1"/>
  <c r="B85" i="1"/>
  <c r="B84" i="1"/>
  <c r="B83" i="1"/>
  <c r="B82" i="1"/>
  <c r="B81" i="1"/>
  <c r="B80" i="1"/>
  <c r="B79" i="1"/>
  <c r="B76" i="1"/>
  <c r="B75" i="1"/>
  <c r="B74" i="1"/>
  <c r="B73" i="1"/>
  <c r="B72" i="1"/>
  <c r="B68" i="1"/>
  <c r="B67" i="1"/>
  <c r="B66" i="1"/>
  <c r="B65" i="1"/>
  <c r="B61" i="1"/>
  <c r="B60" i="1"/>
  <c r="B59" i="1"/>
  <c r="B58" i="1"/>
  <c r="B57" i="1"/>
  <c r="B46" i="1"/>
  <c r="B45" i="1"/>
  <c r="G32" i="1"/>
  <c r="F32" i="1"/>
  <c r="C32" i="1"/>
  <c r="B32" i="1"/>
  <c r="G31" i="1"/>
  <c r="F31" i="1"/>
  <c r="C31" i="1"/>
  <c r="B31" i="1"/>
  <c r="G30" i="1"/>
  <c r="F30" i="1"/>
  <c r="C30" i="1"/>
  <c r="B30" i="1"/>
  <c r="G29" i="1"/>
  <c r="F29" i="1"/>
  <c r="C29" i="1"/>
  <c r="B29" i="1"/>
  <c r="G28" i="1"/>
  <c r="F28" i="1"/>
  <c r="C28" i="1"/>
  <c r="B28" i="1"/>
  <c r="G27" i="1"/>
  <c r="F27" i="1"/>
  <c r="C27" i="1"/>
  <c r="B27" i="1"/>
  <c r="G26" i="1"/>
  <c r="F26" i="1"/>
  <c r="C26" i="1"/>
  <c r="B26" i="1"/>
  <c r="G25" i="1"/>
  <c r="F25" i="1"/>
  <c r="C25" i="1"/>
  <c r="B25" i="1"/>
  <c r="G24" i="1"/>
  <c r="F24" i="1"/>
  <c r="C24" i="1"/>
  <c r="B24" i="1"/>
  <c r="G23" i="1"/>
  <c r="F23" i="1"/>
  <c r="C23" i="1"/>
  <c r="B23" i="1"/>
  <c r="G15" i="1"/>
  <c r="D15" i="1"/>
  <c r="A15" i="1"/>
  <c r="G12" i="1"/>
  <c r="D12" i="1"/>
  <c r="A12" i="1"/>
  <c r="G9" i="1"/>
  <c r="A9" i="1"/>
  <c r="G6" i="1"/>
  <c r="D6" i="1"/>
  <c r="A6" i="1"/>
  <c r="R4" i="5" l="1"/>
  <c r="C8" i="5"/>
  <c r="C7" i="5"/>
  <c r="D7" i="5" s="1"/>
  <c r="M7" i="5" s="1"/>
  <c r="C9" i="5"/>
  <c r="D9" i="5" s="1"/>
  <c r="M9" i="5" s="1"/>
  <c r="N7" i="5"/>
  <c r="Q9" i="5"/>
  <c r="J9" i="10"/>
  <c r="O7" i="10"/>
  <c r="G5" i="10"/>
  <c r="H5" i="10" s="1"/>
  <c r="F8" i="10"/>
  <c r="G7" i="10"/>
  <c r="H7" i="10" s="1"/>
  <c r="F7" i="10"/>
  <c r="F5" i="10"/>
  <c r="F10" i="10"/>
  <c r="F9" i="10"/>
  <c r="F4" i="10"/>
  <c r="F6" i="10"/>
  <c r="E8" i="10"/>
  <c r="E7" i="10"/>
  <c r="E6" i="10"/>
  <c r="E9" i="10"/>
  <c r="E5" i="10"/>
  <c r="D10" i="10"/>
  <c r="D9" i="10"/>
  <c r="D6" i="10"/>
  <c r="D7" i="10"/>
  <c r="E7" i="5"/>
  <c r="F7" i="5"/>
  <c r="Z8" i="2" s="1"/>
  <c r="G7" i="5"/>
  <c r="G5" i="5"/>
  <c r="E5" i="5"/>
  <c r="F5" i="5"/>
  <c r="Z6" i="2" s="1"/>
  <c r="L5" i="5"/>
  <c r="M5" i="5"/>
  <c r="B48" i="1"/>
  <c r="J5" i="2"/>
  <c r="J6" i="2"/>
  <c r="J7" i="2"/>
  <c r="J8" i="2"/>
  <c r="J9" i="2"/>
  <c r="J10" i="2"/>
  <c r="J11" i="2"/>
  <c r="Q4" i="5"/>
  <c r="C6" i="5"/>
  <c r="D6" i="5" s="1"/>
  <c r="O6" i="5"/>
  <c r="R7" i="5"/>
  <c r="P9" i="5"/>
  <c r="S10" i="5"/>
  <c r="G4" i="10"/>
  <c r="H4" i="10" s="1"/>
  <c r="S4" i="5"/>
  <c r="Q6" i="5"/>
  <c r="O8" i="5"/>
  <c r="R9" i="5"/>
  <c r="G9" i="10"/>
  <c r="H9" i="10" s="1"/>
  <c r="D9" i="1"/>
  <c r="P5" i="5"/>
  <c r="S6" i="5"/>
  <c r="Q8" i="5"/>
  <c r="C10" i="5"/>
  <c r="D10" i="5" s="1"/>
  <c r="O10" i="5"/>
  <c r="C4" i="5"/>
  <c r="D4" i="5" s="1"/>
  <c r="S8" i="5"/>
  <c r="Q10" i="5"/>
  <c r="O5" i="5"/>
  <c r="R6" i="5"/>
  <c r="D8" i="5"/>
  <c r="P8" i="5"/>
  <c r="S9" i="5"/>
  <c r="Q5" i="5"/>
  <c r="O7" i="5"/>
  <c r="R8" i="5"/>
  <c r="P10" i="5"/>
  <c r="O4" i="5"/>
  <c r="R5" i="5"/>
  <c r="P7" i="5"/>
  <c r="P4" i="5"/>
  <c r="S5" i="5"/>
  <c r="Q7" i="5"/>
  <c r="O9" i="5"/>
  <c r="E9" i="5" l="1"/>
  <c r="F9" i="5"/>
  <c r="Z10" i="2" s="1"/>
  <c r="L9" i="5"/>
  <c r="G9" i="5"/>
  <c r="L7" i="5"/>
  <c r="L8" i="5"/>
  <c r="G8" i="5"/>
  <c r="F8" i="5"/>
  <c r="Z9" i="2" s="1"/>
  <c r="E8" i="5"/>
  <c r="M8" i="5"/>
  <c r="F10" i="5"/>
  <c r="Z11" i="2" s="1"/>
  <c r="E10" i="5"/>
  <c r="M10" i="5"/>
  <c r="G10" i="5"/>
  <c r="L10" i="5"/>
  <c r="L4" i="5"/>
  <c r="M4" i="5"/>
  <c r="G4" i="5"/>
  <c r="E4" i="5"/>
  <c r="F4" i="5"/>
  <c r="M6" i="5"/>
  <c r="L6" i="5"/>
  <c r="F6" i="5"/>
  <c r="Z7" i="2" s="1"/>
  <c r="G6" i="5"/>
  <c r="E6" i="5"/>
  <c r="Z5" i="2" l="1"/>
  <c r="B53" i="1"/>
  <c r="B54" i="1"/>
  <c r="A18" i="1"/>
  <c r="B52" i="1"/>
  <c r="B5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Dusa</author>
  </authors>
  <commentList>
    <comment ref="C3" authorId="0" shapeId="0" xr:uid="{00000000-0006-0000-0400-000001000000}">
      <text>
        <r>
          <rPr>
            <sz val="11"/>
            <color theme="1"/>
            <rFont val="Calibri"/>
            <family val="2"/>
            <scheme val="minor"/>
          </rPr>
          <t>Raul Dusa:
How risky is this tool based purely on the data it touches, before anything else is considered?</t>
        </r>
      </text>
    </comment>
    <comment ref="D3" authorId="0" shapeId="0" xr:uid="{00000000-0006-0000-0400-000002000000}">
      <text>
        <r>
          <rPr>
            <sz val="11"/>
            <color theme="1"/>
            <rFont val="Calibri"/>
            <family val="2"/>
            <scheme val="minor"/>
          </rPr>
          <t xml:space="preserve">Raul Dusa:
Does the tool's actual behavior (safety harm, agentic action, bias) push that base risk higher?
</t>
        </r>
      </text>
    </comment>
    <comment ref="F3" authorId="0" shapeId="0" xr:uid="{00000000-0006-0000-0400-000003000000}">
      <text>
        <r>
          <rPr>
            <sz val="11"/>
            <color theme="1"/>
            <rFont val="Calibri"/>
            <family val="2"/>
            <scheme val="minor"/>
          </rPr>
          <t xml:space="preserve">Raul Dusa:
Considering everything we now know across every domain — security posture, privacy exposure, legal governance — what's the tool's real risk?
</t>
        </r>
      </text>
    </comment>
  </commentList>
</comments>
</file>

<file path=xl/sharedStrings.xml><?xml version="1.0" encoding="utf-8"?>
<sst xmlns="http://schemas.openxmlformats.org/spreadsheetml/2006/main" count="1338" uniqueCount="596">
  <si>
    <t>AI RMF Profiles - Reference (P1-P20)</t>
  </si>
  <si>
    <t>Assigned at intake (Step 1). Sets the starting position: default classification, default risk tier, oversight, controls. Final risk tier is confirmed in Step 2 and may be escalated but not silently downgraded. See the Profile Selection sheet for how to choose.</t>
  </si>
  <si>
    <t>Profile ID</t>
  </si>
  <si>
    <t>Profile Name</t>
  </si>
  <si>
    <t>Typical Use</t>
  </si>
  <si>
    <t>Default Classification</t>
  </si>
  <si>
    <t>Default Risk Tier</t>
  </si>
  <si>
    <t>Human Oversight</t>
  </si>
  <si>
    <t>Approval Authority</t>
  </si>
  <si>
    <t>Mandatory Controls</t>
  </si>
  <si>
    <t>Monitoring Focus</t>
  </si>
  <si>
    <t>Review Frequency</t>
  </si>
  <si>
    <t>Primary Selection Rule</t>
  </si>
  <si>
    <t>P1</t>
  </si>
  <si>
    <t>Enterprise Productivity Assistant</t>
  </si>
  <si>
    <t>Broadly deployed assistant embedded in enterprise productivity tools</t>
  </si>
  <si>
    <t>Confidential</t>
  </si>
  <si>
    <t>High</t>
  </si>
  <si>
    <t>Human-In-The-Loop for business decisions and external communication</t>
  </si>
  <si>
    <t>ITGC</t>
  </si>
  <si>
    <t>Tenant data boundary; access aligned to existing permissions; audit logging; acceptable use guidance; user training</t>
  </si>
  <si>
    <t>Data exposure, oversharing, output reliance</t>
  </si>
  <si>
    <t>Semiannual</t>
  </si>
  <si>
    <t>Rule 10</t>
  </si>
  <si>
    <t>P2</t>
  </si>
  <si>
    <t>Evaluation and Proof of Concept</t>
  </si>
  <si>
    <t>Time-boxed evaluation with a limited user group</t>
  </si>
  <si>
    <t>Internal</t>
  </si>
  <si>
    <t>Moderate</t>
  </si>
  <si>
    <t>Human-In-The-Loop</t>
  </si>
  <si>
    <t>IT Security and Business Owner</t>
  </si>
  <si>
    <t>Defined end date; named participants; Internal data only; no PII or Confidential data; no production dependency</t>
  </si>
  <si>
    <t>Scope and classification adherence</t>
  </si>
  <si>
    <t>At conclusion, or annually</t>
  </si>
  <si>
    <t>Rule 9</t>
  </si>
  <si>
    <t>P3</t>
  </si>
  <si>
    <t>Domain and Technical Assistant</t>
  </si>
  <si>
    <t>Support for a specific tool, dataset, or technical discipline</t>
  </si>
  <si>
    <t>Restricted user group; limited data scope; documented limitations; no automated decisions</t>
  </si>
  <si>
    <t>Scope creep, output accuracy</t>
  </si>
  <si>
    <t>Annual</t>
  </si>
  <si>
    <t>Rule 11</t>
  </si>
  <si>
    <t>P4</t>
  </si>
  <si>
    <t>Developer and Code Assistant</t>
  </si>
  <si>
    <t>Code generation, review, and software development support</t>
  </si>
  <si>
    <t>Human-In-The-Loop with code review</t>
  </si>
  <si>
    <t>No Sensitive data in prompts; code review before merge; secret scanning; license and IP review</t>
  </si>
  <si>
    <t>Source code exposure, insecure suggestions</t>
  </si>
  <si>
    <t>Rule 7</t>
  </si>
  <si>
    <t>P5</t>
  </si>
  <si>
    <t>Agentic Automation</t>
  </si>
  <si>
    <t>AI that executes multi-step tasks, calls tools, or acts on systems</t>
  </si>
  <si>
    <t>High to Critical</t>
  </si>
  <si>
    <t>Human-In-The-Loop for privileged or irreversible actions</t>
  </si>
  <si>
    <t>Least privilege identity; action allow list; approval gate for privileged actions; full action logging; rollback capability</t>
  </si>
  <si>
    <t>Action logs, privilege use, unexpected actions</t>
  </si>
  <si>
    <t>Quarterly</t>
  </si>
  <si>
    <t>Rule 4</t>
  </si>
  <si>
    <t>P6</t>
  </si>
  <si>
    <t>Customer or Supplier Facing</t>
  </si>
  <si>
    <t>AI that interacts with external parties or generates external content</t>
  </si>
  <si>
    <t>Human-In-The-Loop with approved response boundaries</t>
  </si>
  <si>
    <t>ITGC with Legal review</t>
  </si>
  <si>
    <t>Approved content boundaries; disclosure of AI use where required; escalation path to a human; brand and legal review</t>
  </si>
  <si>
    <t>Output accuracy, complaints, external disclosure</t>
  </si>
  <si>
    <t>Rule 5</t>
  </si>
  <si>
    <t>P7</t>
  </si>
  <si>
    <t>People and HR Decision Support</t>
  </si>
  <si>
    <t>AI supporting recruiting, evaluation, or workforce decisions</t>
  </si>
  <si>
    <t>Sensitive</t>
  </si>
  <si>
    <t>Critical</t>
  </si>
  <si>
    <t>Human-In-The-Loop with documented decision authority</t>
  </si>
  <si>
    <t>ITGC with Legal and Privacy review</t>
  </si>
  <si>
    <t>Documented human decision authority; bias assessment; privacy review; retention; notice where required</t>
  </si>
  <si>
    <t>Bias indicators, overrides, complaints</t>
  </si>
  <si>
    <t>Rule 1</t>
  </si>
  <si>
    <t>P8</t>
  </si>
  <si>
    <t>Operational Technology and Laboratory</t>
  </si>
  <si>
    <t>AI supporting plant, process, or laboratory activities</t>
  </si>
  <si>
    <t>Confidential to Sensitive</t>
  </si>
  <si>
    <t>Human-In-The-Loop with no autonomous control actions</t>
  </si>
  <si>
    <t>ITGC with operational safety review</t>
  </si>
  <si>
    <t>Advisory only; no control system write access; network segmentation; engineering validation of outputs</t>
  </si>
  <si>
    <t>Output validation, attempted integrations, safety impact</t>
  </si>
  <si>
    <t>Rule 3</t>
  </si>
  <si>
    <t>P9</t>
  </si>
  <si>
    <t>Research and Formulation Support</t>
  </si>
  <si>
    <t>R&amp;D support, scientific literature review, experimental design, formulation work</t>
  </si>
  <si>
    <t>Human-In-The-Loop with technical validation of all outputs</t>
  </si>
  <si>
    <t>ITGC with R&amp;D leadership review</t>
  </si>
  <si>
    <t>No unapproved upload of formulations or compositions; IP and export control review; technical validation before use; restricted user group</t>
  </si>
  <si>
    <t>Formulation and IP exposure, output accuracy, scope adherence</t>
  </si>
  <si>
    <t>Rule 6</t>
  </si>
  <si>
    <t>P10</t>
  </si>
  <si>
    <t>Legal and Contract Analysis</t>
  </si>
  <si>
    <t>Contract review, clause comparison, obligation extraction, legal research</t>
  </si>
  <si>
    <t>Human-In-The-Loop with attorney or contract owner review</t>
  </si>
  <si>
    <t>Privilege protection; no vendor training on submitted documents; retention limits; attorney or contract owner review of all conclusions</t>
  </si>
  <si>
    <t>Privileged content exposure, extraction accuracy</t>
  </si>
  <si>
    <t>P11</t>
  </si>
  <si>
    <t>Finance and Reporting Support</t>
  </si>
  <si>
    <t>Financial data analysis, close support, reporting inputs</t>
  </si>
  <si>
    <t>Human-In-The-Loop with reviewer independent of preparer</t>
  </si>
  <si>
    <t>ITGC with Finance and SOX review</t>
  </si>
  <si>
    <t>No autonomous journal or system postings; evidence retention for audit; segregation of duties; SOX control mapping where in scope</t>
  </si>
  <si>
    <t>Output accuracy, reliance within controls, audit evidence completeness</t>
  </si>
  <si>
    <t>P12</t>
  </si>
  <si>
    <t>Security Operations Assistant</t>
  </si>
  <si>
    <t>Alert triage, investigation support, log summarization, detection engineering</t>
  </si>
  <si>
    <t>Human-On-The-Loop for triage; Human-In-The-Loop for containment</t>
  </si>
  <si>
    <t>IT Security leadership with ITGC notification</t>
  </si>
  <si>
    <t>Least privilege access to logs and cases; no autonomous containment; analyst validation before action; full action logging</t>
  </si>
  <si>
    <t>Analyst overrides, incorrect conclusions, privileged data access</t>
  </si>
  <si>
    <t>P13</t>
  </si>
  <si>
    <t>Data Analytics and Business Intelligence</t>
  </si>
  <si>
    <t>Natural language querying, report generation, analysis over business datasets</t>
  </si>
  <si>
    <t>Internal to Confidential</t>
  </si>
  <si>
    <t>Moderate to High</t>
  </si>
  <si>
    <t>Human-In-The-Loop before results inform decisions</t>
  </si>
  <si>
    <t>IT Security with data owner approval</t>
  </si>
  <si>
    <t>Access aligned to existing data permissions; data owner approval; documented data sources; no unapproved dataset uploads</t>
  </si>
  <si>
    <t>Query scope, data access alignment, output accuracy</t>
  </si>
  <si>
    <t>P14</t>
  </si>
  <si>
    <t>Marketing and Communications Content</t>
  </si>
  <si>
    <t>Drafting internal or external content, campaigns, communications</t>
  </si>
  <si>
    <t>Human-In-The-Loop with brand and legal review before publication</t>
  </si>
  <si>
    <t>IT Security; ITGC where external facing</t>
  </si>
  <si>
    <t>Brand and legal review before external release; no material nonpublic information; disclosure of AI use where required; IP and likeness review</t>
  </si>
  <si>
    <t>External accuracy, disclosure compliance, brand consistency</t>
  </si>
  <si>
    <t>P15</t>
  </si>
  <si>
    <t>Procurement and Vendor Analysis</t>
  </si>
  <si>
    <t>Supplier research, RFP support, spend analysis, vendor document review</t>
  </si>
  <si>
    <t>Human-In-The-Loop with buyer and Legal review</t>
  </si>
  <si>
    <t>IT Security with Procurement approval</t>
  </si>
  <si>
    <t>No vendor confidential or NDA material without approval; sourcing conclusions validated by buyer; documented assumptions</t>
  </si>
  <si>
    <t>Confidential vendor data exposure, decision quality</t>
  </si>
  <si>
    <t>P16</t>
  </si>
  <si>
    <t>Meeting Transcription and Summarization</t>
  </si>
  <si>
    <t>Recording, transcription, notes, action item generation</t>
  </si>
  <si>
    <t>Human-In-The-Loop for accuracy and distribution control</t>
  </si>
  <si>
    <t>ITGC with Privacy and Legal review</t>
  </si>
  <si>
    <t>Participant notice and consent where required; restricted distribution; retention limits; no recording of privileged or HR-sensitive meetings without approval</t>
  </si>
  <si>
    <t>Recording scope, distribution, retention, privacy complaints</t>
  </si>
  <si>
    <t>P17</t>
  </si>
  <si>
    <t>Training and Knowledge Assistant</t>
  </si>
  <si>
    <t>Policy, procedure, onboarding, and knowledge base question answering</t>
  </si>
  <si>
    <t>Human-On-The-Loop with authoritative source citation</t>
  </si>
  <si>
    <t>Authoritative source restriction; citation of source policy or procedure; no interpretation beyond documented text</t>
  </si>
  <si>
    <t>Answer accuracy, source drift, user feedback</t>
  </si>
  <si>
    <t>P18</t>
  </si>
  <si>
    <t>Embedded AI Feature in Existing SaaS</t>
  </si>
  <si>
    <t>AI capability activated inside an already approved application</t>
  </si>
  <si>
    <t>Inherits host application classification</t>
  </si>
  <si>
    <t>Inherits, minimum Moderate</t>
  </si>
  <si>
    <t>Human-In-The-Loop where outputs affect records or decisions</t>
  </si>
  <si>
    <t>IT Security; ITGC if classification or scope increases</t>
  </si>
  <si>
    <t>Feature-level review before enablement; confirmation of data boundary; tenant configuration review; inherits host controls and monitoring</t>
  </si>
  <si>
    <t>Feature changes, data boundary changes, scope expansion</t>
  </si>
  <si>
    <t>Aligned to host application, minimum annual</t>
  </si>
  <si>
    <t>Rule 8</t>
  </si>
  <si>
    <t>P19</t>
  </si>
  <si>
    <t>Synthetic Media Generation (Video &amp; Audio)</t>
  </si>
  <si>
    <t>Text-to-video, AI presenters and stock avatars, synthetic voiceover, training and promotional video</t>
  </si>
  <si>
    <t>ITGC with Legal review (external-facing); IT Security and Business Owner (internal only)</t>
  </si>
  <si>
    <t>Licensing and rights to stock avatars, faces, and music confirmed; no real identifiable person’s voice or likeness (escalate to P20); disclosure of AI-generated media where required; no material nonpublic information in scripts; retention limits on uploaded source material; brand and legal review before external release</t>
  </si>
  <si>
    <t>Disclosure compliance, unauthorized likeness use, external accuracy, brand consistency, source-material retention</t>
  </si>
  <si>
    <t>Semiannual; Quarterly if external-facing</t>
  </si>
  <si>
    <t>P20</t>
  </si>
  <si>
    <t>Identity Cloning &amp; Impersonation (Voice or Likeness)</t>
  </si>
  <si>
    <t>Cloned voice or likeness of a named real person, digital twins, custom personal avatars, in-voice dubbing</t>
  </si>
  <si>
    <t>Human-In-The-Loop with every output reviewed; no autonomous generation</t>
  </si>
  <si>
    <t>ITGC with Legal and Privacy review; documented consent of the individual on file</t>
  </si>
  <si>
    <t>Written, revocable consent from the person cloned held on file (for employees, decoupled from any condition of employment); biometric handling under GDPR and Illinois BIPA with a documented retention and destruction schedule; restricted, logged access to the cloned asset with revoke or delete on demand; AI-use disclosure or provenance watermark on output; prohibited uses defined (no approvals, financial, legal, or safety instructions issued via a cloned voice; anti-vishing safeguards); right-of-publicity review by Legal; defined incident path for misuse or deepfake</t>
  </si>
  <si>
    <t>Consent status and expiry, access to and use of the cloned asset, misuse or deepfake attempts, disclosure compliance, biometric retention compliance</t>
  </si>
  <si>
    <t>Rule 2</t>
  </si>
  <si>
    <t>AI Inventory Dashboard - NIST AI RMF View</t>
  </si>
  <si>
    <t>Generated from the AI Inventory. Includes AI RMF Profile coverage and distribution (P1-P20). Update the AI Inventory (Assigned Profile); all figures recalculate automatically.</t>
  </si>
  <si>
    <t>Total AI Systems</t>
  </si>
  <si>
    <t>Approved Systems</t>
  </si>
  <si>
    <t>Pending / Missing Evidence</t>
  </si>
  <si>
    <t>High Risk Systems</t>
  </si>
  <si>
    <t>Critical Risk Systems</t>
  </si>
  <si>
    <t>Systems Processing PII</t>
  </si>
  <si>
    <t>Confidential Data Systems</t>
  </si>
  <si>
    <t>Sensitive Data Systems</t>
  </si>
  <si>
    <t>Systems Processing IP</t>
  </si>
  <si>
    <t>Profiles Assigned</t>
  </si>
  <si>
    <t>Missing Profile</t>
  </si>
  <si>
    <t>Distinct Profiles In Use</t>
  </si>
  <si>
    <t>Overall Critical/High Systems</t>
  </si>
  <si>
    <t>Systems by Assigned Profile</t>
  </si>
  <si>
    <t>Profile</t>
  </si>
  <si>
    <t>Name</t>
  </si>
  <si>
    <t>Count</t>
  </si>
  <si>
    <t>Executive Action Items</t>
  </si>
  <si>
    <t>Action</t>
  </si>
  <si>
    <t>Owner</t>
  </si>
  <si>
    <t>Priority</t>
  </si>
  <si>
    <t>Status</t>
  </si>
  <si>
    <t>Complete owner and approval evidence for Synthesia, Leverage AI, and Pictory.AI</t>
  </si>
  <si>
    <t>AI Governance / IT Security</t>
  </si>
  <si>
    <t>Open</t>
  </si>
  <si>
    <t>Confirm Leverage AI agentic controls (least privilege, approval gate, vendor review)</t>
  </si>
  <si>
    <t>IT Security / Procurement</t>
  </si>
  <si>
    <t>Verify licensing, AI-use disclosure, and no real-person cloning for Synthesia and Pictory.AI</t>
  </si>
  <si>
    <t>Communications / IT Security</t>
  </si>
  <si>
    <t>Medium</t>
  </si>
  <si>
    <t>Validate assigned AI RMF Profiles for all AI systems</t>
  </si>
  <si>
    <t>Complete vendor security maturity review for U2C.AI before any production use of Inside Hazard Navigator</t>
  </si>
  <si>
    <t>IT Security / OT Security</t>
  </si>
  <si>
    <t>Review tools where Overall Risk Rating is driven by Legal or Privacy rather than the base Risk Tier</t>
  </si>
  <si>
    <t>IT Security / Legal / Privacy</t>
  </si>
  <si>
    <t>Risk Tier</t>
  </si>
  <si>
    <t>Low</t>
  </si>
  <si>
    <t>Overall Risk Rating = MAX(Validated Risk Tier, Vendor Risk Rating, Privacy Risk Rating, Legal Risk Rating). See Risk Assessment for the driving category per tool.</t>
  </si>
  <si>
    <t>Overall Risk Rating</t>
  </si>
  <si>
    <t>Tools may span multiple capabilities; counts sum to more than the number of tools.</t>
  </si>
  <si>
    <t>AI Capability</t>
  </si>
  <si>
    <t>Generative AI</t>
  </si>
  <si>
    <t>Agentic AI</t>
  </si>
  <si>
    <t>Embedded AI</t>
  </si>
  <si>
    <t>AI APIs and Integrations</t>
  </si>
  <si>
    <t>Internal AI Deployments</t>
  </si>
  <si>
    <t>Data Classification</t>
  </si>
  <si>
    <t>Public</t>
  </si>
  <si>
    <t>Approval Status</t>
  </si>
  <si>
    <t>Approved</t>
  </si>
  <si>
    <t>Pending / Needs Documentation</t>
  </si>
  <si>
    <t>Under Review</t>
  </si>
  <si>
    <t>Approved with Conditions</t>
  </si>
  <si>
    <t>Rejected</t>
  </si>
  <si>
    <t>Risk Categories</t>
  </si>
  <si>
    <t>Data leakage and disclosure</t>
  </si>
  <si>
    <t>Prompt injection and adversarial input</t>
  </si>
  <si>
    <t>Hallucination and incorrect output</t>
  </si>
  <si>
    <t>Unauthorized data retention</t>
  </si>
  <si>
    <t>Model drift and degradation</t>
  </si>
  <si>
    <t>Data poisoning</t>
  </si>
  <si>
    <t>Model theft or extraction</t>
  </si>
  <si>
    <t>Overreliance and automation bias</t>
  </si>
  <si>
    <t>Bias and harmful output</t>
  </si>
  <si>
    <t>Third-party and value chain risk</t>
  </si>
  <si>
    <t>Information security risk</t>
  </si>
  <si>
    <t>Privacy risk</t>
  </si>
  <si>
    <t>Regulatory and legal risk</t>
  </si>
  <si>
    <t>Harm Types</t>
  </si>
  <si>
    <t>ndividual harm</t>
  </si>
  <si>
    <t>Organizational harm</t>
  </si>
  <si>
    <t>Safety harm</t>
  </si>
  <si>
    <t>Regulatory harm</t>
  </si>
  <si>
    <t>Confidentiality harm</t>
  </si>
  <si>
    <t>Information integrity harm</t>
  </si>
  <si>
    <t>AI Inventory - NIST AI RMF Aligned</t>
  </si>
  <si>
    <t>Source: user-provided inventory. Structure aligned to NIST AI RMF (Govern, Map, Measure, Manage). Assigned Profile is chosen using the Profile Selection sheet; Profile Selection Rule, Human Oversight, Profile Approval Authority, and Profile Review Frequency are looked up automatically from the Profiles sheet once a profile is assigned.</t>
  </si>
  <si>
    <t>Auto Updates - Do not edit this section</t>
  </si>
  <si>
    <t>AI ID</t>
  </si>
  <si>
    <t>Provider</t>
  </si>
  <si>
    <t>AI System Name</t>
  </si>
  <si>
    <t>Purpose</t>
  </si>
  <si>
    <t>Scope</t>
  </si>
  <si>
    <t>Data Processed</t>
  </si>
  <si>
    <t>Profile Default Risk Tier</t>
  </si>
  <si>
    <t>Tier vs Profile Check</t>
  </si>
  <si>
    <t>Original Approved Data Classification</t>
  </si>
  <si>
    <t>Intellectual Property Processed</t>
  </si>
  <si>
    <t>PII Processed</t>
  </si>
  <si>
    <t>Requested By</t>
  </si>
  <si>
    <t>Reviewed By</t>
  </si>
  <si>
    <t>Approved Date</t>
  </si>
  <si>
    <t>NIST AI RMF Function Coverage</t>
  </si>
  <si>
    <t>Assigned Profile</t>
  </si>
  <si>
    <t>Profile Selection Rule</t>
  </si>
  <si>
    <t>Profile Approval Authority</t>
  </si>
  <si>
    <t>Profile Review Frequency</t>
  </si>
  <si>
    <t>Notes</t>
  </si>
  <si>
    <t>Overall Risk Rating (reference)</t>
  </si>
  <si>
    <t>AI-001</t>
  </si>
  <si>
    <t>Microsoft</t>
  </si>
  <si>
    <t>Copilot</t>
  </si>
  <si>
    <t>Productivity assistance and enterprise AI capability</t>
  </si>
  <si>
    <t>All employees</t>
  </si>
  <si>
    <t>Organization Confidential</t>
  </si>
  <si>
    <t>Yes</t>
  </si>
  <si>
    <t>Govern | Map | Measure | Manage</t>
  </si>
  <si>
    <t>Capability is Embedded AI (activated inside Microsoft 365); profile remains P1 Enterprise Productivity Assistant. Confidential data, IP, and PII may be processed.</t>
  </si>
  <si>
    <t>AI-002</t>
  </si>
  <si>
    <t>Anthropic</t>
  </si>
  <si>
    <t>Claude AI</t>
  </si>
  <si>
    <t>AI evaluation</t>
  </si>
  <si>
    <t>Limited PoC group</t>
  </si>
  <si>
    <t>Custom made software code, uploaded documents, and data provided by user</t>
  </si>
  <si>
    <t>Internal Use</t>
  </si>
  <si>
    <t>No</t>
  </si>
  <si>
    <t>Time-boxed PoC; Internal data only, no production dependency.</t>
  </si>
  <si>
    <t>AI-003</t>
  </si>
  <si>
    <t>JMP Learnbot</t>
  </si>
  <si>
    <t>Data and questions provided by the user specific to the navigation of the JMP Pro tool</t>
  </si>
  <si>
    <t>Internal Use Only</t>
  </si>
  <si>
    <t>[Contact-1]@organization.local</t>
  </si>
  <si>
    <t>IT Security and ITGC</t>
  </si>
  <si>
    <t>2026-06-04 00:00:00</t>
  </si>
  <si>
    <t>Narrow group; JMP Pro navigation questions; Internal data only.</t>
  </si>
  <si>
    <t>AI-004</t>
  </si>
  <si>
    <t>Synthesia</t>
  </si>
  <si>
    <t>All-in-one AI video platform to enhance training and communications; videos can be translated in 160+ languages</t>
  </si>
  <si>
    <t>Scripts and source material provided by the user; synthetic stock avatars and voices; generated video</t>
  </si>
  <si>
    <t>[Contact-2]@organization.local</t>
  </si>
  <si>
    <t>IT Security</t>
  </si>
  <si>
    <t>Human-driven GenAI video (synthetic/stock avatars) -&gt; P19. Escalates to P20 only if a real organization person’s voice or likeness is cloned.</t>
  </si>
  <si>
    <t>AI-005</t>
  </si>
  <si>
    <t>Customer Service and Commercial</t>
  </si>
  <si>
    <t>Purchase order data exchanged with customers and suppliers</t>
  </si>
  <si>
    <t>[Contact-3]@organization.local</t>
  </si>
  <si>
    <t>Agentic PO workflow acting across systems -&gt; P5. Customer/supplier-facing; confirm vendor controls and human approval gates for PO actions.</t>
  </si>
  <si>
    <t>AI-006</t>
  </si>
  <si>
    <t>AI video generator for Company communications channels</t>
  </si>
  <si>
    <t>Communications</t>
  </si>
  <si>
    <t>Scripts, documents, and media provided by the user; generated video</t>
  </si>
  <si>
    <t>[Contact-4]@organization.local</t>
  </si>
  <si>
    <t>Human-driven GenAI video generation -&gt; P19. Confirm licensing/rights and AI-use disclosure for external channels.</t>
  </si>
  <si>
    <t>AI-007</t>
  </si>
  <si>
    <t>System Diagrams or Documentation; Operational Procedures</t>
  </si>
  <si>
    <t>IT</t>
  </si>
  <si>
    <t>2025-12-05 00:00:00</t>
  </si>
  <si>
    <t>Time-boxed pilot querying EHS&amp;S/process safety data; profile matches P2 default (Evaluation and Proof of Concept); risk tier validated above profile default given Confidential-adjacent safety data.</t>
  </si>
  <si>
    <t>AI RMF Profile Selection - Ordered Rules</t>
  </si>
  <si>
    <t>Apply the rules top to bottom and stop at the first match. Because the rules run highest-risk first, the sharper risk always wins — a tool that is both agentic and customer-facing is caught as agentic (Rule 4) before Rule 5. P20 (Rule 2) is always caught before P19 (Rule 7), and P18 (Rule 8) only applies when no earlier rule matched. If the use later changes so a different rule would apply, re-run selection — this is a Step 7 reassessment trigger.</t>
  </si>
  <si>
    <t>Rule</t>
  </si>
  <si>
    <t>If the intake record shows</t>
  </si>
  <si>
    <t>Source Intake Field</t>
  </si>
  <si>
    <t>The system evaluates, ranks, screens, or prioritizes people</t>
  </si>
  <si>
    <t>Impact Assessment - People impact</t>
  </si>
  <si>
    <t>The system clones or replicates a real, identifiable person’s voice or likeness</t>
  </si>
  <si>
    <t>AI system type; Impact Assessment - People impact</t>
  </si>
  <si>
    <t>The system supports plant, PCN, process, or laboratory activity</t>
  </si>
  <si>
    <t>Impact Assessment - Safety impact</t>
  </si>
  <si>
    <t>The system acts on other systems, calls tools, or executes workflows</t>
  </si>
  <si>
    <t>AI system type - Agentic</t>
  </si>
  <si>
    <t>Output reaches customers, suppliers, or the public</t>
  </si>
  <si>
    <t>User scope; Impact Assessment - Stakeholders</t>
  </si>
  <si>
    <t>The tool is owned by a specialist function: R&amp;D, Legal, Finance, Security Operations, Procurement, or Marketing</t>
  </si>
  <si>
    <t>Business Owner function</t>
  </si>
  <si>
    <t>P9, P10, P11, P12, P15, P14 respectively</t>
  </si>
  <si>
    <t>The tool is defined by a capability: code assistance, meeting capture, dataset querying, policy question answering, or video/audio generation</t>
  </si>
  <si>
    <t>Business use case and purpose</t>
  </si>
  <si>
    <t>P4, P16, P13, P17, P19 respectively</t>
  </si>
  <si>
    <t>AI is being enabled inside an application that is already approved</t>
  </si>
  <si>
    <t>Vendor and integration details</t>
  </si>
  <si>
    <t>The tool is a time-boxed pilot: Internal data only, no PII or Confidential data, and no production dependency</t>
  </si>
  <si>
    <t>User scope; Lifecycle = Pilot</t>
  </si>
  <si>
    <t>The tool is deployed enterprise-wide within the existing data boundary</t>
  </si>
  <si>
    <t>User scope - enterprise-wide</t>
  </si>
  <si>
    <t>The tool serves a narrow group, one tool or dataset, with no decision impact</t>
  </si>
  <si>
    <t>User scope and data scope</t>
  </si>
  <si>
    <t>Rule 12</t>
  </si>
  <si>
    <t>No rule above matches</t>
  </si>
  <si>
    <t>Not applicable</t>
  </si>
  <si>
    <t>No profile; IT Security determines whether a new profile is warranted</t>
  </si>
  <si>
    <t>Risk Assessment - NIST AI RMF Govern, Map, Measure, Manage</t>
  </si>
  <si>
    <t>Inherent Risk</t>
  </si>
  <si>
    <t>Validated Risk Tier (Impact &amp; Control Validation)</t>
  </si>
  <si>
    <t>Validation Result</t>
  </si>
  <si>
    <t>Risk Drivers</t>
  </si>
  <si>
    <t>Primary Risk Category</t>
  </si>
  <si>
    <t>Potential Harm</t>
  </si>
  <si>
    <t>Key Mitigations</t>
  </si>
  <si>
    <t>Risk Owner</t>
  </si>
  <si>
    <t>IT Risk Register Entry Required</t>
  </si>
  <si>
    <t>Risk Acceptance Required</t>
  </si>
  <si>
    <t>Applicable Risk Categories</t>
  </si>
  <si>
    <t>Category Count</t>
  </si>
  <si>
    <t>Applicable Harms</t>
  </si>
  <si>
    <t>Harm Count</t>
  </si>
  <si>
    <t>Required Evidence (from applicable categories)</t>
  </si>
  <si>
    <t>Access controls, DLP, approved usage guidance, logging, vendor controls</t>
  </si>
  <si>
    <t>Business Owner / Requestor</t>
  </si>
  <si>
    <t>Limited access, user guidance, vendor security review, retention limits, implement SSO</t>
  </si>
  <si>
    <t>Limited access, user guidance, vendor security review</t>
  </si>
  <si>
    <t>Licensing of avatars/voices, AI-use disclosure, brand/legal review, no real-person cloning (else P20), retention limits</t>
  </si>
  <si>
    <t>Least privilege, action allow list, human approval gate for PO actions, vendor review, full logging</t>
  </si>
  <si>
    <t>Licensing and rights confirmation, AI-use disclosure for external channels, brand/legal review</t>
  </si>
  <si>
    <t>Restrict to pilot/read-only scope, require engineering validation of outputs, vendor security program maturity review before any production use, no autonomous control-system actions</t>
  </si>
  <si>
    <t>Risk &amp; Harm Assessment - per AI System (Step 3)</t>
  </si>
  <si>
    <t>AI ID and Name auto-populate from the AI Inventory. Score each of the 13 risk categories and 6 harm types (Yes/No/N/A). Rollups feed the Risk Assessment sheet.</t>
  </si>
  <si>
    <t>Individual harm</t>
  </si>
  <si>
    <t>Broad enterprise use; PII and Confidential data in scope.</t>
  </si>
  <si>
    <t>PoC; code and documents; Internal data only.</t>
  </si>
  <si>
    <t>Narrow navigation Q&amp;A; Internal only.</t>
  </si>
  <si>
    <t>Synthetic media; likeness/disclosure and IP/rights.</t>
  </si>
  <si>
    <t>Agentic PO workflow; customer/supplier + PO/financial data.</t>
  </si>
  <si>
    <t>Synthetic media for external channels; disclosure and rights.</t>
  </si>
  <si>
    <t>Pilot EHS&amp;S/process safety query tool; new vendor with an immature security program.</t>
  </si>
  <si>
    <t>Data &amp; Privacy</t>
  </si>
  <si>
    <t>Privacy Review</t>
  </si>
  <si>
    <t>Privacy Risk Rating</t>
  </si>
  <si>
    <t>Data Sources / Data Processed</t>
  </si>
  <si>
    <t>Employee Data</t>
  </si>
  <si>
    <t>Customer Data</t>
  </si>
  <si>
    <t>Financial Data</t>
  </si>
  <si>
    <t>Legal Data</t>
  </si>
  <si>
    <t>IP / Trade Secrets</t>
  </si>
  <si>
    <t>Data Shared With Vendor</t>
  </si>
  <si>
    <t>Data Residency</t>
  </si>
  <si>
    <t>Retention Period</t>
  </si>
  <si>
    <t>Inputs Logged</t>
  </si>
  <si>
    <t>Outputs Logged</t>
  </si>
  <si>
    <t>DPA Executed</t>
  </si>
  <si>
    <t>Not Started</t>
  </si>
  <si>
    <t>Yes (Microsoft)</t>
  </si>
  <si>
    <t>US / tenant region</t>
  </si>
  <si>
    <t>Per M365 retention policy</t>
  </si>
  <si>
    <t>Yes (Microsoft DPA)</t>
  </si>
  <si>
    <t>Possible (code)</t>
  </si>
  <si>
    <t>Yes (Anthropic)</t>
  </si>
  <si>
    <t>US</t>
  </si>
  <si>
    <t>Per Anthropic terms; zero-retention if configured</t>
  </si>
  <si>
    <t>Yes (Anthropic DPA; verify)</t>
  </si>
  <si>
    <t>Possible (chemical context)</t>
  </si>
  <si>
    <t>Yes (CustomGPT.ai)</t>
  </si>
  <si>
    <t>Session-based</t>
  </si>
  <si>
    <t>To confirm with vendor</t>
  </si>
  <si>
    <t>Possible (scripts)</t>
  </si>
  <si>
    <t>Yes (Synthesia)</t>
  </si>
  <si>
    <t>EU / US</t>
  </si>
  <si>
    <t>Per contract</t>
  </si>
  <si>
    <t>Possible</t>
  </si>
  <si>
    <t>To confirm</t>
  </si>
  <si>
    <t>Possible (scripts/media)</t>
  </si>
  <si>
    <t>Yes (Pictory)</t>
  </si>
  <si>
    <t>System diagrams, operational procedures, and EHS&amp;S/process safety data provided by the user</t>
  </si>
  <si>
    <t>Possible (engineering documentation)</t>
  </si>
  <si>
    <t>Vendor &amp; Security Review</t>
  </si>
  <si>
    <t>Privacy Review, Legal Review, and DPA Executed are owned by Data &amp; Privacy and Legal &amp; Compliance respectively. This sheet is scoped to security posture and control evidence only.</t>
  </si>
  <si>
    <t>Vendor</t>
  </si>
  <si>
    <t>Security Review</t>
  </si>
  <si>
    <t>Vendor Risk Rating</t>
  </si>
  <si>
    <t>SOC 2 Available</t>
  </si>
  <si>
    <t>ISO 27001 Available</t>
  </si>
  <si>
    <t>Pen Test Available</t>
  </si>
  <si>
    <t>MFA Supported</t>
  </si>
  <si>
    <t>RBAC Supported</t>
  </si>
  <si>
    <t>Encryption At Rest</t>
  </si>
  <si>
    <t>Encryption In Transit</t>
  </si>
  <si>
    <t>Audit Logging</t>
  </si>
  <si>
    <t>SIEM Integration</t>
  </si>
  <si>
    <t>Prompt Injection Testing</t>
  </si>
  <si>
    <t>Yes (published; verify)</t>
  </si>
  <si>
    <t>Yes (ISO 27001; verify)</t>
  </si>
  <si>
    <t>Yes (vendor SDL; verify)</t>
  </si>
  <si>
    <t>Yes (SSO)</t>
  </si>
  <si>
    <t>Yes (Purview)</t>
  </si>
  <si>
    <t>Yes (Defender/Sentinel)</t>
  </si>
  <si>
    <t>Vendor-managed (verify)</t>
  </si>
  <si>
    <t>Security evidence to be attached or linked in governance records; verify current vendor reports.</t>
  </si>
  <si>
    <t>Yes (enterprise)</t>
  </si>
  <si>
    <t>Yes (enterprise/API logs)</t>
  </si>
  <si>
    <t>Via API logs (to integrate)</t>
  </si>
  <si>
    <t>Yes (analyzed)</t>
  </si>
  <si>
    <t>Yes (ISO 27001 and others)</t>
  </si>
  <si>
    <t>Yes (Admin Settings)</t>
  </si>
  <si>
    <t>N/A (media generation)</t>
  </si>
  <si>
    <t>To confirm (agentic actions)</t>
  </si>
  <si>
    <t>New organization with a recently released security program handled by staff with multiple hats. Immature program with light controls.</t>
  </si>
  <si>
    <t>Legal &amp; Compliance - AI Governance Review (Step 3 / NIST AI RMF Govern)</t>
  </si>
  <si>
    <t>Legal Review tracks the overall legal sign-off. The questions below are AI-specific governance checks aligned to NIST AI RMF (Govern/Map/Measure/Manage) covering IP, training data rights, liability, audit rights, data-use restriction, and exit rights.</t>
  </si>
  <si>
    <t>Legal Review</t>
  </si>
  <si>
    <t>Legal Risk Rating</t>
  </si>
  <si>
    <t>IP Ownership of AI Output Clarified</t>
  </si>
  <si>
    <t>Training Data Rights Confirmed</t>
  </si>
  <si>
    <t>Liability for AI Errors/Hallucination Addressed</t>
  </si>
  <si>
    <t>Right to Audit AI Decisions</t>
  </si>
  <si>
    <t>Data Use for Model Training Restricted</t>
  </si>
  <si>
    <t>Termination/Data Deletion Rights on Exit</t>
  </si>
  <si>
    <t>Regulatory Exposure (GDPR/NIS2/sector-specific)</t>
  </si>
  <si>
    <t>In Progress</t>
  </si>
  <si>
    <t>PoC system</t>
  </si>
  <si>
    <t>Approval Workflow</t>
  </si>
  <si>
    <t>Business Approval</t>
  </si>
  <si>
    <t>IT Security Approval</t>
  </si>
  <si>
    <t>Privacy Approval</t>
  </si>
  <si>
    <t>Legal Approval</t>
  </si>
  <si>
    <t>ITGC Required</t>
  </si>
  <si>
    <t>ITGC Approval</t>
  </si>
  <si>
    <t>AI Governance Committee</t>
  </si>
  <si>
    <t>Approval Decision</t>
  </si>
  <si>
    <t>Approval Conditions</t>
  </si>
  <si>
    <t>Approval Date</t>
  </si>
  <si>
    <t>Profile Approval Authority (reference)</t>
  </si>
  <si>
    <t>Not Established</t>
  </si>
  <si>
    <t>Complete missing approval evidence and owner fields</t>
  </si>
  <si>
    <t>Approved through documented review</t>
  </si>
  <si>
    <t>Pending</t>
  </si>
  <si>
    <t>Approved for pilot/development scope only; production use requires vendor security maturity review</t>
  </si>
  <si>
    <t>Monitoring &amp; Reassessment</t>
  </si>
  <si>
    <t>Monitoring Required</t>
  </si>
  <si>
    <t>Usage Monitoring</t>
  </si>
  <si>
    <t>Security Monitoring</t>
  </si>
  <si>
    <t>Privacy Monitoring</t>
  </si>
  <si>
    <t>Bias Monitoring</t>
  </si>
  <si>
    <t>Drift Monitoring</t>
  </si>
  <si>
    <t>Incident History</t>
  </si>
  <si>
    <t>Open Findings</t>
  </si>
  <si>
    <t>Corrective Actions</t>
  </si>
  <si>
    <t>Last Reassessment</t>
  </si>
  <si>
    <t>Next Reassessment</t>
  </si>
  <si>
    <t>Reassessment Status</t>
  </si>
  <si>
    <t>Profile Review Frequency (reference)</t>
  </si>
  <si>
    <t>Effective Review Cadence</t>
  </si>
  <si>
    <t>Periodic (broad use)</t>
  </si>
  <si>
    <t>Vendor model updates</t>
  </si>
  <si>
    <t>None reported in provided data</t>
  </si>
  <si>
    <t>Approval evidence missing</t>
  </si>
  <si>
    <t>Complete governance evidence</t>
  </si>
  <si>
    <t>Periodic</t>
  </si>
  <si>
    <t>None</t>
  </si>
  <si>
    <t>Maintain annual review</t>
  </si>
  <si>
    <t>Likeness and content review</t>
  </si>
  <si>
    <t>Behavior and action monitoring</t>
  </si>
  <si>
    <t>Upon Material Change</t>
  </si>
  <si>
    <t>Vendor model updates; vendor security program maturity</t>
  </si>
  <si>
    <t>Vendor security program immature</t>
  </si>
  <si>
    <t>Reassess before any production use</t>
  </si>
  <si>
    <t>Reference Lists</t>
  </si>
  <si>
    <t>Lifecycle Status</t>
  </si>
  <si>
    <t>Yes/No</t>
  </si>
  <si>
    <t>AI Capability Description</t>
  </si>
  <si>
    <t>Risk Category</t>
  </si>
  <si>
    <t>Category Description</t>
  </si>
  <si>
    <t>Minimum Evidence</t>
  </si>
  <si>
    <t>Harm Type</t>
  </si>
  <si>
    <t>Assessment Requirement</t>
  </si>
  <si>
    <t>Review Status (Security/Privacy/Legal)</t>
  </si>
  <si>
    <t>Not Submitted</t>
  </si>
  <si>
    <t>Proposed</t>
  </si>
  <si>
    <t>Creates new content — text, images, video, audio, or code — from a prompt. Output is novel each time, which is what drives hallucination, IP/likeness, and output-reliance risk.</t>
  </si>
  <si>
    <t>Prompts, uploads, outputs, logs, or vendor systems expose company data.</t>
  </si>
  <si>
    <t>Data flow, classification, retention and deletion terms</t>
  </si>
  <si>
    <t>Whether outputs could affect a person, employee, candidate, customer, supplier, or contractor.</t>
  </si>
  <si>
    <t>Pilot</t>
  </si>
  <si>
    <t>Human-On-The-Loop</t>
  </si>
  <si>
    <t>Takes actions on other systems: calling tools, executing multi-step workflows, or triggering downstream processes without a human performing the action directly. Risk is about consequence and reversibility.</t>
  </si>
  <si>
    <t>Crafted inputs manipulate behavior, bypass controls, or cause unintended action.</t>
  </si>
  <si>
    <t>Guardrails, abuse testing, monitoring</t>
  </si>
  <si>
    <t>Financial, operational, security, legal, compliance, and reputational impact.</t>
  </si>
  <si>
    <t>Production</t>
  </si>
  <si>
    <t>Unknown</t>
  </si>
  <si>
    <t>Human-Out-Of-The-Loop</t>
  </si>
  <si>
    <t>An AI feature activated inside an already-approved application (e.g., Copilot in Microsoft 365). Inherits the host app's data boundary, contract, and security posture rather than being independently vetted.</t>
  </si>
  <si>
    <t>AI generates inaccurate or fabricated information that users rely upon.</t>
  </si>
  <si>
    <t>Validation process, user guidance, review requirements</t>
  </si>
  <si>
    <t>Whether outputs could affect physical or process safety, environmental controls, or emergency response.</t>
  </si>
  <si>
    <t>Blocked</t>
  </si>
  <si>
    <t>Suspended</t>
  </si>
  <si>
    <t>N/A</t>
  </si>
  <si>
    <t>A vendor's AI model or service is called programmatically, usually as one structured component of a larger internal workflow rather than an open-ended chat interface.</t>
  </si>
  <si>
    <t>Vendor retains, trains on, or reuses organizational data.</t>
  </si>
  <si>
    <t>Contract terms, DPA, vendor documentation</t>
  </si>
  <si>
    <t>Whether the tool could create noncompliance or reporting obligations.</t>
  </si>
  <si>
    <t>Completed - Pending Decision</t>
  </si>
  <si>
    <t>Retired</t>
  </si>
  <si>
    <t>The model runs inside our own infrastructure; no third-party exposure at the model layer. Risk shifts to our own operational controls.</t>
  </si>
  <si>
    <t>Behavior or quality changes over time.</t>
  </si>
  <si>
    <t>Change notification, monitoring approach, review cadence</t>
  </si>
  <si>
    <t>Whether Confidential or Sensitive information, IP, formulations, or source code could be exposed.</t>
  </si>
  <si>
    <t>Training, retrieval, or reference data is manipulated.</t>
  </si>
  <si>
    <t>Source validation, access control, change control</t>
  </si>
  <si>
    <t>Whether misleading outputs could enter records, reports, or business decisions.</t>
  </si>
  <si>
    <t>Model, prompts, embeddings, or proprietary logic are extracted.</t>
  </si>
  <si>
    <t>Access control, rate limiting, contractual protection</t>
  </si>
  <si>
    <t>Users accept output without adequate review.</t>
  </si>
  <si>
    <t>Human oversight model, training, disclaimers</t>
  </si>
  <si>
    <t>Unfair, skewed, or discriminatory results.</t>
  </si>
  <si>
    <t>Bias assessment, human review, prohibited uses</t>
  </si>
  <si>
    <t>Vendor hosting, APIs, subprocessors, and components.</t>
  </si>
  <si>
    <t>ITDRA, SOC 2 or ISO evidence, subprocessor review</t>
  </si>
  <si>
    <t>Unauthorized access, insecure integration, or privilege misuse.</t>
  </si>
  <si>
    <t>Architecture review, MFA, RBAC, logging, patching</t>
  </si>
  <si>
    <t>Improper processing, retention, or exposure of PII or Sensitive data.</t>
  </si>
  <si>
    <t>Privacy review, DPA, retention controls</t>
  </si>
  <si>
    <t>Noncompliance with law, contract, or records obligations.</t>
  </si>
  <si>
    <t>Legal and Compliance review, regulatory mapping</t>
  </si>
  <si>
    <t>SAMPLE AI</t>
  </si>
  <si>
    <t>Factory safety data</t>
  </si>
  <si>
    <t>Yes (SAMPLE AI)</t>
  </si>
  <si>
    <t>Yes (Levy AI + suppliers)</t>
  </si>
  <si>
    <t>Levy AI</t>
  </si>
  <si>
    <t>Online platform for PO submission, confirmation, and updates;</t>
  </si>
  <si>
    <t>Not applicable, data is from a single site.</t>
  </si>
  <si>
    <t>HR, Operations; others may also use for his videos</t>
  </si>
  <si>
    <t>To develop an AI tool used to query safety risk assessment data, MOC, and other process safety data - PILOT DEVELOPMENT ONLY</t>
  </si>
  <si>
    <t>Potential Hazard Navigator</t>
  </si>
  <si>
    <t>Startreck.AI</t>
  </si>
  <si>
    <t>SomeGPT.ai</t>
  </si>
  <si>
    <t>AI used with UI interface bot</t>
  </si>
  <si>
    <t>Limited group with access to specific data</t>
  </si>
  <si>
    <t>Data and questions provided by the user specific to the navigation of the UI Pro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</si>
</sst>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b/>
      <sz val="16"/>
      <color rgb="FFFFFFFF"/>
      <name val="Calibri"/>
      <family val="2"/>
    </font>
    <font>
      <i/>
      <sz val="10"/>
      <color rgb="FF666666"/>
      <name val="Calibri"/>
      <family val="2"/>
    </font>
    <font>
      <b/>
      <sz val="11"/>
      <color rgb="FFFFFFFF"/>
      <name val="Calibri"/>
      <family val="2"/>
    </font>
    <font>
      <sz val="11"/>
      <color rgb="FF000000"/>
      <name val="Calibri"/>
      <family val="2"/>
    </font>
    <font>
      <b/>
      <sz val="11"/>
      <name val="Calibri"/>
      <family val="2"/>
    </font>
    <font>
      <sz val="11"/>
      <name val="Calibri"/>
      <family val="2"/>
    </font>
    <font>
      <b/>
      <i/>
      <sz val="10"/>
      <color rgb="FFFFFFFF"/>
      <name val="Calibri"/>
      <family val="2"/>
    </font>
    <font>
      <b/>
      <sz val="14"/>
      <color rgb="FF1F4E78"/>
      <name val="Calibri"/>
      <family val="2"/>
    </font>
    <font>
      <b/>
      <sz val="12"/>
      <color rgb="FFFFFFFF"/>
      <name val="Calibri"/>
      <family val="2"/>
    </font>
    <font>
      <sz val="11"/>
      <color theme="1"/>
      <name val="Segoe UI"/>
    </font>
    <font>
      <sz val="10"/>
      <color theme="1"/>
      <name val="Arial Unicode MS"/>
      <family val="2"/>
    </font>
  </fonts>
  <fills count="5">
    <fill>
      <patternFill patternType="none"/>
    </fill>
    <fill>
      <patternFill patternType="gray125"/>
    </fill>
    <fill>
      <patternFill patternType="solid">
        <fgColor rgb="FF1F4E78"/>
      </patternFill>
    </fill>
    <fill>
      <patternFill patternType="solid">
        <fgColor rgb="FFBF6B12"/>
      </patternFill>
    </fill>
    <fill>
      <patternFill patternType="solid">
        <fgColor rgb="FFD9EAF7"/>
      </patternFill>
    </fill>
  </fills>
  <borders count="1">
    <border>
      <left/>
      <right/>
      <top/>
      <bottom/>
      <diagonal/>
    </border>
  </borders>
  <cellStyleXfs count="1">
    <xf numFmtId="0" fontId="0" fillId="0" borderId="0"/>
  </cellStyleXfs>
  <cellXfs count="17">
    <xf numFmtId="0" fontId="0" fillId="0" borderId="0" xfId="0"/>
    <xf numFmtId="0" fontId="3" fillId="2" borderId="0" xfId="0" applyFont="1" applyFill="1" applyAlignment="1">
      <alignment horizontal="left" vertical="top" wrapText="1"/>
    </xf>
    <xf numFmtId="0" fontId="4" fillId="0" borderId="0" xfId="0" applyFont="1" applyAlignment="1">
      <alignment horizontal="left" vertical="top" wrapText="1"/>
    </xf>
    <xf numFmtId="0" fontId="2" fillId="0" borderId="0" xfId="0" applyFont="1"/>
    <xf numFmtId="164" fontId="4" fillId="0" borderId="0" xfId="0" applyNumberFormat="1"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10" fillId="0" borderId="0" xfId="0" applyFont="1"/>
    <xf numFmtId="0" fontId="11" fillId="0" borderId="0" xfId="0" applyFont="1"/>
    <xf numFmtId="0" fontId="1" fillId="2" borderId="0" xfId="0" applyFont="1" applyFill="1" applyAlignment="1">
      <alignment vertical="center" wrapText="1"/>
    </xf>
    <xf numFmtId="0" fontId="0" fillId="0" borderId="0" xfId="0"/>
    <xf numFmtId="0" fontId="7" fillId="3" borderId="0" xfId="0" applyFont="1" applyFill="1"/>
    <xf numFmtId="0" fontId="2" fillId="0" borderId="0" xfId="0" applyFont="1" applyAlignment="1">
      <alignment horizontal="left" vertical="top" wrapText="1"/>
    </xf>
    <xf numFmtId="0" fontId="3" fillId="2" borderId="0" xfId="0" applyFont="1" applyFill="1" applyAlignment="1">
      <alignment horizontal="center" vertical="center" wrapText="1"/>
    </xf>
    <xf numFmtId="0" fontId="8" fillId="4" borderId="0" xfId="0" applyFont="1" applyFill="1" applyAlignment="1">
      <alignment horizontal="center" vertical="center"/>
    </xf>
    <xf numFmtId="0" fontId="9" fillId="2" borderId="0" xfId="0" applyFont="1" applyFill="1"/>
    <xf numFmtId="0" fontId="9" fillId="2" borderId="0" xfId="0" applyFont="1" applyFill="1" applyAlignment="1">
      <alignment vertical="center" wrapText="1"/>
    </xf>
  </cellXfs>
  <cellStyles count="1">
    <cellStyle name="Normal" xfId="0" builtinId="0"/>
  </cellStyles>
  <dxfs count="14">
    <dxf>
      <fill>
        <patternFill patternType="solid">
          <fgColor rgb="FFF2F6FA"/>
        </patternFill>
      </fill>
    </dxf>
    <dxf>
      <fill>
        <patternFill patternType="solid">
          <fgColor rgb="FFF8D7DA"/>
        </patternFill>
      </fill>
    </dxf>
    <dxf>
      <fill>
        <patternFill patternType="solid">
          <fgColor rgb="FFE9B8B8"/>
        </patternFill>
      </fill>
    </dxf>
    <dxf>
      <fill>
        <patternFill patternType="solid">
          <fgColor rgb="FFF8D7DA"/>
        </patternFill>
      </fill>
    </dxf>
    <dxf>
      <fill>
        <patternFill patternType="solid">
          <fgColor rgb="FFF8D7DA"/>
        </patternFill>
      </fill>
    </dxf>
    <dxf>
      <fill>
        <patternFill patternType="solid">
          <fgColor rgb="FFE9B8B8"/>
        </patternFill>
      </fill>
    </dxf>
    <dxf>
      <fill>
        <patternFill patternType="solid">
          <fgColor rgb="FFE2EFDA"/>
        </patternFill>
      </fill>
    </dxf>
    <dxf>
      <fill>
        <patternFill patternType="solid">
          <fgColor rgb="FFE9B8B8"/>
        </patternFill>
      </fill>
    </dxf>
    <dxf>
      <fill>
        <patternFill patternType="solid">
          <fgColor rgb="FFF8D7DA"/>
        </patternFill>
      </fill>
    </dxf>
    <dxf>
      <fill>
        <patternFill patternType="solid">
          <fgColor rgb="FFFFF7E6"/>
        </patternFill>
      </fill>
    </dxf>
    <dxf>
      <fill>
        <patternFill patternType="solid">
          <fgColor rgb="FFE2EFDA"/>
        </patternFill>
      </fill>
    </dxf>
    <dxf>
      <fill>
        <patternFill patternType="solid">
          <fgColor rgb="FFF8D7DA"/>
        </patternFill>
      </fill>
    </dxf>
    <dxf>
      <fill>
        <patternFill patternType="solid">
          <fgColor rgb="FFE9B8B8"/>
        </patternFill>
      </fill>
    </dxf>
    <dxf>
      <fill>
        <patternFill patternType="solid">
          <fgColor rgb="FFF8D7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Risk Categories</a:t>
            </a:r>
          </a:p>
        </c:rich>
      </c:tx>
      <c:overlay val="0"/>
      <c:spPr>
        <a:noFill/>
        <a:ln>
          <a:noFill/>
          <a:prstDash val="solid"/>
        </a:ln>
      </c:spPr>
    </c:title>
    <c:autoTitleDeleted val="0"/>
    <c:plotArea>
      <c:layout/>
      <c:barChart>
        <c:barDir val="bar"/>
        <c:grouping val="clustered"/>
        <c:varyColors val="0"/>
        <c:ser>
          <c:idx val="0"/>
          <c:order val="0"/>
          <c:tx>
            <c:strRef>
              <c:f>Dashboard!$B$78</c:f>
              <c:strCache>
                <c:ptCount val="1"/>
                <c:pt idx="0">
                  <c:v>Count</c:v>
                </c:pt>
              </c:strCache>
            </c:strRef>
          </c:tx>
          <c:spPr>
            <a:solidFill>
              <a:schemeClr val="accent1"/>
            </a:solidFill>
            <a:ln>
              <a:noFill/>
              <a:prstDash val="solid"/>
            </a:ln>
          </c:spPr>
          <c:invertIfNegative val="0"/>
          <c:cat>
            <c:strRef>
              <c:f>Dashboard!$A$79:$A$91</c:f>
              <c:strCache>
                <c:ptCount val="13"/>
                <c:pt idx="0">
                  <c:v>Data leakage and disclosure</c:v>
                </c:pt>
                <c:pt idx="1">
                  <c:v>Prompt injection and adversarial input</c:v>
                </c:pt>
                <c:pt idx="2">
                  <c:v>Hallucination and incorrect output</c:v>
                </c:pt>
                <c:pt idx="3">
                  <c:v>Unauthorized data retention</c:v>
                </c:pt>
                <c:pt idx="4">
                  <c:v>Model drift and degradation</c:v>
                </c:pt>
                <c:pt idx="5">
                  <c:v>Data poisoning</c:v>
                </c:pt>
                <c:pt idx="6">
                  <c:v>Model theft or extraction</c:v>
                </c:pt>
                <c:pt idx="7">
                  <c:v>Overreliance and automation bias</c:v>
                </c:pt>
                <c:pt idx="8">
                  <c:v>Bias and harmful output</c:v>
                </c:pt>
                <c:pt idx="9">
                  <c:v>Third-party and value chain risk</c:v>
                </c:pt>
                <c:pt idx="10">
                  <c:v>Information security risk</c:v>
                </c:pt>
                <c:pt idx="11">
                  <c:v>Privacy risk</c:v>
                </c:pt>
                <c:pt idx="12">
                  <c:v>Regulatory and legal risk</c:v>
                </c:pt>
              </c:strCache>
            </c:strRef>
          </c:cat>
          <c:val>
            <c:numRef>
              <c:f>Dashboard!$B$79:$B$91</c:f>
              <c:numCache>
                <c:formatCode>General</c:formatCode>
                <c:ptCount val="13"/>
                <c:pt idx="0">
                  <c:v>7</c:v>
                </c:pt>
                <c:pt idx="1">
                  <c:v>5</c:v>
                </c:pt>
                <c:pt idx="2">
                  <c:v>7</c:v>
                </c:pt>
                <c:pt idx="3">
                  <c:v>7</c:v>
                </c:pt>
                <c:pt idx="4">
                  <c:v>5</c:v>
                </c:pt>
                <c:pt idx="5">
                  <c:v>1</c:v>
                </c:pt>
                <c:pt idx="6">
                  <c:v>0</c:v>
                </c:pt>
                <c:pt idx="7">
                  <c:v>7</c:v>
                </c:pt>
                <c:pt idx="8">
                  <c:v>4</c:v>
                </c:pt>
                <c:pt idx="9">
                  <c:v>7</c:v>
                </c:pt>
                <c:pt idx="10">
                  <c:v>7</c:v>
                </c:pt>
                <c:pt idx="11">
                  <c:v>3</c:v>
                </c:pt>
                <c:pt idx="12">
                  <c:v>5</c:v>
                </c:pt>
              </c:numCache>
            </c:numRef>
          </c:val>
          <c:extLst>
            <c:ext xmlns:c16="http://schemas.microsoft.com/office/drawing/2014/chart" uri="{C3380CC4-5D6E-409C-BE32-E72D297353CC}">
              <c16:uniqueId val="{00000000-134B-E74D-8CB5-C4F77CC01440}"/>
            </c:ext>
          </c:extLst>
        </c:ser>
        <c:dLbls>
          <c:showLegendKey val="0"/>
          <c:showVal val="0"/>
          <c:showCatName val="0"/>
          <c:showSerName val="0"/>
          <c:showPercent val="0"/>
          <c:showBubbleSize val="0"/>
        </c:dLbls>
        <c:gapWidth val="182"/>
        <c:axId val="77828480"/>
        <c:axId val="78993088"/>
      </c:barChart>
      <c:catAx>
        <c:axId val="7782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8993088"/>
        <c:crosses val="autoZero"/>
        <c:auto val="1"/>
        <c:lblAlgn val="ctr"/>
        <c:lblOffset val="100"/>
        <c:noMultiLvlLbl val="0"/>
      </c:catAx>
      <c:valAx>
        <c:axId val="7899308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782848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AI</a:t>
            </a:r>
            <a:r>
              <a:rPr lang="en-US" baseline="0"/>
              <a:t> Harm Types</a:t>
            </a:r>
          </a:p>
        </c:rich>
      </c:tx>
      <c:overlay val="0"/>
      <c:spPr>
        <a:noFill/>
        <a:ln>
          <a:noFill/>
          <a:prstDash val="solid"/>
        </a:ln>
      </c:spPr>
    </c:title>
    <c:autoTitleDeleted val="0"/>
    <c:plotArea>
      <c:layout/>
      <c:barChart>
        <c:barDir val="bar"/>
        <c:grouping val="clustered"/>
        <c:varyColors val="0"/>
        <c:ser>
          <c:idx val="0"/>
          <c:order val="0"/>
          <c:tx>
            <c:strRef>
              <c:f>Dashboard!$B$93</c:f>
              <c:strCache>
                <c:ptCount val="1"/>
                <c:pt idx="0">
                  <c:v>Count</c:v>
                </c:pt>
              </c:strCache>
            </c:strRef>
          </c:tx>
          <c:spPr>
            <a:solidFill>
              <a:schemeClr val="accent1"/>
            </a:solidFill>
            <a:ln>
              <a:noFill/>
              <a:prstDash val="solid"/>
            </a:ln>
          </c:spPr>
          <c:invertIfNegative val="0"/>
          <c:cat>
            <c:strRef>
              <c:f>Dashboard!$A$94:$A$99</c:f>
              <c:strCache>
                <c:ptCount val="6"/>
                <c:pt idx="0">
                  <c:v>ndividual harm</c:v>
                </c:pt>
                <c:pt idx="1">
                  <c:v>Organizational harm</c:v>
                </c:pt>
                <c:pt idx="2">
                  <c:v>Safety harm</c:v>
                </c:pt>
                <c:pt idx="3">
                  <c:v>Regulatory harm</c:v>
                </c:pt>
                <c:pt idx="4">
                  <c:v>Confidentiality harm</c:v>
                </c:pt>
                <c:pt idx="5">
                  <c:v>Information integrity harm</c:v>
                </c:pt>
              </c:strCache>
            </c:strRef>
          </c:cat>
          <c:val>
            <c:numRef>
              <c:f>Dashboard!$B$94:$B$99</c:f>
              <c:numCache>
                <c:formatCode>General</c:formatCode>
                <c:ptCount val="6"/>
                <c:pt idx="0">
                  <c:v>4</c:v>
                </c:pt>
                <c:pt idx="1">
                  <c:v>7</c:v>
                </c:pt>
                <c:pt idx="2">
                  <c:v>1</c:v>
                </c:pt>
                <c:pt idx="3">
                  <c:v>5</c:v>
                </c:pt>
                <c:pt idx="4">
                  <c:v>7</c:v>
                </c:pt>
                <c:pt idx="5">
                  <c:v>7</c:v>
                </c:pt>
              </c:numCache>
            </c:numRef>
          </c:val>
          <c:extLst>
            <c:ext xmlns:c16="http://schemas.microsoft.com/office/drawing/2014/chart" uri="{C3380CC4-5D6E-409C-BE32-E72D297353CC}">
              <c16:uniqueId val="{00000000-5D05-D141-BFF6-7CFB7E8B8031}"/>
            </c:ext>
          </c:extLst>
        </c:ser>
        <c:dLbls>
          <c:showLegendKey val="0"/>
          <c:showVal val="0"/>
          <c:showCatName val="0"/>
          <c:showSerName val="0"/>
          <c:showPercent val="0"/>
          <c:showBubbleSize val="0"/>
        </c:dLbls>
        <c:gapWidth val="182"/>
        <c:axId val="164963520"/>
        <c:axId val="78996672"/>
      </c:barChart>
      <c:catAx>
        <c:axId val="164963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78996672"/>
        <c:crosses val="autoZero"/>
        <c:auto val="1"/>
        <c:lblAlgn val="ctr"/>
        <c:lblOffset val="100"/>
        <c:noMultiLvlLbl val="0"/>
      </c:catAx>
      <c:valAx>
        <c:axId val="78996672"/>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649635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AI Systems by Risk Tier</a:t>
            </a:r>
          </a:p>
        </c:rich>
      </c:tx>
      <c:overlay val="1"/>
    </c:title>
    <c:autoTitleDeleted val="0"/>
    <c:plotArea>
      <c:layout/>
      <c:barChart>
        <c:barDir val="col"/>
        <c:grouping val="clustered"/>
        <c:varyColors val="1"/>
        <c:ser>
          <c:idx val="0"/>
          <c:order val="0"/>
          <c:tx>
            <c:strRef>
              <c:f>Dashboard!$B$44</c:f>
              <c:strCache>
                <c:ptCount val="1"/>
                <c:pt idx="0">
                  <c:v>Count</c:v>
                </c:pt>
              </c:strCache>
            </c:strRef>
          </c:tx>
          <c:spPr>
            <a:solidFill>
              <a:srgbClr val="0F6E6E"/>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Dashboard!$A$45:$A$48</c:f>
              <c:strCache>
                <c:ptCount val="4"/>
                <c:pt idx="0">
                  <c:v>Low</c:v>
                </c:pt>
                <c:pt idx="1">
                  <c:v>Moderate</c:v>
                </c:pt>
                <c:pt idx="2">
                  <c:v>High</c:v>
                </c:pt>
                <c:pt idx="3">
                  <c:v>Critical</c:v>
                </c:pt>
              </c:strCache>
            </c:strRef>
          </c:cat>
          <c:val>
            <c:numRef>
              <c:f>Dashboard!$B$45:$B$48</c:f>
              <c:numCache>
                <c:formatCode>General</c:formatCode>
                <c:ptCount val="4"/>
                <c:pt idx="0">
                  <c:v>0</c:v>
                </c:pt>
                <c:pt idx="1">
                  <c:v>3</c:v>
                </c:pt>
                <c:pt idx="2">
                  <c:v>4</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F85-3D4B-AC72-12339D51B56E}"/>
            </c:ext>
          </c:extLst>
        </c:ser>
        <c:dLbls>
          <c:showLegendKey val="0"/>
          <c:showVal val="1"/>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AI Systems by Overall Risk Rating</a:t>
            </a:r>
          </a:p>
        </c:rich>
      </c:tx>
      <c:overlay val="1"/>
    </c:title>
    <c:autoTitleDeleted val="0"/>
    <c:plotArea>
      <c:layout/>
      <c:barChart>
        <c:barDir val="col"/>
        <c:grouping val="clustered"/>
        <c:varyColors val="1"/>
        <c:ser>
          <c:idx val="0"/>
          <c:order val="0"/>
          <c:tx>
            <c:strRef>
              <c:f>Dashboard!$B$50</c:f>
              <c:strCache>
                <c:ptCount val="1"/>
                <c:pt idx="0">
                  <c:v>Count</c:v>
                </c:pt>
              </c:strCache>
            </c:strRef>
          </c:tx>
          <c:spPr>
            <a:solidFill>
              <a:srgbClr val="7030A0"/>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Dashboard!$A$51:$A$54</c:f>
              <c:strCache>
                <c:ptCount val="4"/>
                <c:pt idx="0">
                  <c:v>Low</c:v>
                </c:pt>
                <c:pt idx="1">
                  <c:v>Moderate</c:v>
                </c:pt>
                <c:pt idx="2">
                  <c:v>High</c:v>
                </c:pt>
                <c:pt idx="3">
                  <c:v>Critical</c:v>
                </c:pt>
              </c:strCache>
            </c:strRef>
          </c:cat>
          <c:val>
            <c:numRef>
              <c:f>Dashboard!$B$51:$B$54</c:f>
              <c:numCache>
                <c:formatCode>General</c:formatCode>
                <c:ptCount val="4"/>
                <c:pt idx="0">
                  <c:v>0</c:v>
                </c:pt>
                <c:pt idx="1">
                  <c:v>2</c:v>
                </c:pt>
                <c:pt idx="2">
                  <c:v>2</c:v>
                </c:pt>
                <c:pt idx="3">
                  <c:v>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D1B-6D4D-BDE2-2CD0ABCDAF50}"/>
            </c:ext>
          </c:extLst>
        </c:ser>
        <c:dLbls>
          <c:showLegendKey val="0"/>
          <c:showVal val="1"/>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AI Systems by Capability</a:t>
            </a:r>
          </a:p>
        </c:rich>
      </c:tx>
      <c:overlay val="1"/>
    </c:title>
    <c:autoTitleDeleted val="0"/>
    <c:plotArea>
      <c:layout/>
      <c:barChart>
        <c:barDir val="col"/>
        <c:grouping val="clustered"/>
        <c:varyColors val="1"/>
        <c:ser>
          <c:idx val="0"/>
          <c:order val="0"/>
          <c:tx>
            <c:strRef>
              <c:f>Dashboard!$B$56</c:f>
              <c:strCache>
                <c:ptCount val="1"/>
                <c:pt idx="0">
                  <c:v>Count</c:v>
                </c:pt>
              </c:strCache>
            </c:strRef>
          </c:tx>
          <c:spPr>
            <a:solidFill>
              <a:srgbClr val="1F4E78"/>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Dashboard!$A$57:$A$61</c:f>
              <c:strCache>
                <c:ptCount val="5"/>
                <c:pt idx="0">
                  <c:v>Generative AI</c:v>
                </c:pt>
                <c:pt idx="1">
                  <c:v>Agentic AI</c:v>
                </c:pt>
                <c:pt idx="2">
                  <c:v>Embedded AI</c:v>
                </c:pt>
                <c:pt idx="3">
                  <c:v>AI APIs and Integrations</c:v>
                </c:pt>
                <c:pt idx="4">
                  <c:v>Internal AI Deployments</c:v>
                </c:pt>
              </c:strCache>
            </c:strRef>
          </c:cat>
          <c:val>
            <c:numRef>
              <c:f>Dashboard!$B$57:$B$61</c:f>
              <c:numCache>
                <c:formatCode>General</c:formatCode>
                <c:ptCount val="5"/>
                <c:pt idx="0">
                  <c:v>4</c:v>
                </c:pt>
                <c:pt idx="1">
                  <c:v>1</c:v>
                </c:pt>
                <c:pt idx="2">
                  <c:v>1</c:v>
                </c:pt>
                <c:pt idx="3">
                  <c:v>1</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349-DD4F-B047-FAE84CD149DC}"/>
            </c:ext>
          </c:extLst>
        </c:ser>
        <c:dLbls>
          <c:showLegendKey val="0"/>
          <c:showVal val="1"/>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AI Systems by Data Classification</a:t>
            </a:r>
          </a:p>
        </c:rich>
      </c:tx>
      <c:overlay val="1"/>
    </c:title>
    <c:autoTitleDeleted val="0"/>
    <c:plotArea>
      <c:layout/>
      <c:pieChart>
        <c:varyColors val="1"/>
        <c:ser>
          <c:idx val="0"/>
          <c:order val="0"/>
          <c:tx>
            <c:strRef>
              <c:f>Dashboard!$B$64</c:f>
              <c:strCache>
                <c:ptCount val="1"/>
                <c:pt idx="0">
                  <c:v>Count</c:v>
                </c:pt>
              </c:strCache>
            </c:strRef>
          </c:tx>
          <c:spPr>
            <a:ln>
              <a:prstDash val="solid"/>
            </a:ln>
          </c:spPr>
          <c:dLbls>
            <c:spPr>
              <a:noFill/>
              <a:ln>
                <a:noFill/>
                <a:prstDash val="solid"/>
              </a:ln>
            </c:spPr>
            <c:showLegendKey val="0"/>
            <c:showVal val="1"/>
            <c:showCatName val="0"/>
            <c:showSerName val="0"/>
            <c:showPercent val="0"/>
            <c:showBubbleSize val="0"/>
            <c:showLeaderLines val="1"/>
            <c:extLst>
              <c:ext xmlns:c15="http://schemas.microsoft.com/office/drawing/2012/chart" uri="{CE6537A1-D6FC-4f65-9D91-7224C49458BB}"/>
            </c:extLst>
          </c:dLbls>
          <c:cat>
            <c:strRef>
              <c:f>Dashboard!$A$65:$A$68</c:f>
              <c:strCache>
                <c:ptCount val="4"/>
                <c:pt idx="0">
                  <c:v>Public</c:v>
                </c:pt>
                <c:pt idx="1">
                  <c:v>Internal</c:v>
                </c:pt>
                <c:pt idx="2">
                  <c:v>Confidential</c:v>
                </c:pt>
                <c:pt idx="3">
                  <c:v>Sensitive</c:v>
                </c:pt>
              </c:strCache>
            </c:strRef>
          </c:cat>
          <c:val>
            <c:numRef>
              <c:f>Dashboard!$B$65:$B$68</c:f>
              <c:numCache>
                <c:formatCode>General</c:formatCode>
                <c:ptCount val="4"/>
                <c:pt idx="0">
                  <c:v>0</c:v>
                </c:pt>
                <c:pt idx="1">
                  <c:v>4</c:v>
                </c:pt>
                <c:pt idx="2">
                  <c:v>3</c:v>
                </c:pt>
                <c:pt idx="3">
                  <c:v>0</c:v>
                </c:pt>
              </c:numCache>
            </c:numRef>
          </c:val>
          <c:extLst>
            <c:ext xmlns:c16="http://schemas.microsoft.com/office/drawing/2014/chart" uri="{C3380CC4-5D6E-409C-BE32-E72D297353CC}">
              <c16:uniqueId val="{00000000-7138-EF44-BBC6-42D985F9F6AC}"/>
            </c:ext>
          </c:extLst>
        </c:ser>
        <c:dLbls>
          <c:showLegendKey val="0"/>
          <c:showVal val="1"/>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AI Systems by Approval Status</a:t>
            </a:r>
          </a:p>
        </c:rich>
      </c:tx>
      <c:overlay val="1"/>
    </c:title>
    <c:autoTitleDeleted val="0"/>
    <c:plotArea>
      <c:layout/>
      <c:barChart>
        <c:barDir val="col"/>
        <c:grouping val="clustered"/>
        <c:varyColors val="1"/>
        <c:ser>
          <c:idx val="0"/>
          <c:order val="0"/>
          <c:tx>
            <c:strRef>
              <c:f>Dashboard!$B$71</c:f>
              <c:strCache>
                <c:ptCount val="1"/>
                <c:pt idx="0">
                  <c:v>Count</c:v>
                </c:pt>
              </c:strCache>
            </c:strRef>
          </c:tx>
          <c:spPr>
            <a:solidFill>
              <a:srgbClr val="BF6B12"/>
            </a:solidFill>
            <a:ln>
              <a:prstDash val="solid"/>
            </a:ln>
          </c:spPr>
          <c:invertIfNegative val="1"/>
          <c:dLbls>
            <c:spPr>
              <a:noFill/>
              <a:ln>
                <a:noFill/>
                <a:prstDash val="solid"/>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Dashboard!$A$72:$A$76</c:f>
              <c:strCache>
                <c:ptCount val="5"/>
                <c:pt idx="0">
                  <c:v>Approved</c:v>
                </c:pt>
                <c:pt idx="1">
                  <c:v>Pending / Needs Documentation</c:v>
                </c:pt>
                <c:pt idx="2">
                  <c:v>Under Review</c:v>
                </c:pt>
                <c:pt idx="3">
                  <c:v>Approved with Conditions</c:v>
                </c:pt>
                <c:pt idx="4">
                  <c:v>Rejected</c:v>
                </c:pt>
              </c:strCache>
            </c:strRef>
          </c:cat>
          <c:val>
            <c:numRef>
              <c:f>Dashboard!$B$72:$B$76</c:f>
              <c:numCache>
                <c:formatCode>General</c:formatCode>
                <c:ptCount val="5"/>
                <c:pt idx="0">
                  <c:v>3</c:v>
                </c:pt>
                <c:pt idx="1">
                  <c:v>2</c:v>
                </c:pt>
                <c:pt idx="2">
                  <c:v>0</c:v>
                </c:pt>
                <c:pt idx="3">
                  <c:v>1</c:v>
                </c:pt>
                <c:pt idx="4">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0001-9749-941B-3328C9EF1DA0}"/>
            </c:ext>
          </c:extLst>
        </c:ser>
        <c:dLbls>
          <c:showLegendKey val="0"/>
          <c:showVal val="1"/>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438150</xdr:colOff>
      <xdr:row>42</xdr:row>
      <xdr:rowOff>25400</xdr:rowOff>
    </xdr:from>
    <xdr:to>
      <xdr:col>7</xdr:col>
      <xdr:colOff>133350</xdr:colOff>
      <xdr:row>56</xdr:row>
      <xdr:rowOff>63500</xdr:rowOff>
    </xdr:to>
    <xdr:graphicFrame macro="">
      <xdr:nvGraphicFramePr>
        <xdr:cNvPr id="6" name="Chart 6">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615950</xdr:colOff>
      <xdr:row>42</xdr:row>
      <xdr:rowOff>50800</xdr:rowOff>
    </xdr:from>
    <xdr:to>
      <xdr:col>13</xdr:col>
      <xdr:colOff>57150</xdr:colOff>
      <xdr:row>56</xdr:row>
      <xdr:rowOff>88900</xdr:rowOff>
    </xdr:to>
    <xdr:graphicFrame macro="">
      <xdr:nvGraphicFramePr>
        <xdr:cNvPr id="7" name="Chart 7">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304800</xdr:colOff>
      <xdr:row>35</xdr:row>
      <xdr:rowOff>114300</xdr:rowOff>
    </xdr:from>
    <xdr:ext cx="468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495300</xdr:colOff>
      <xdr:row>35</xdr:row>
      <xdr:rowOff>139700</xdr:rowOff>
    </xdr:from>
    <xdr:ext cx="4680000" cy="288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4</xdr:col>
      <xdr:colOff>292100</xdr:colOff>
      <xdr:row>38</xdr:row>
      <xdr:rowOff>76200</xdr:rowOff>
    </xdr:from>
    <xdr:ext cx="4680000" cy="288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457200</xdr:colOff>
      <xdr:row>21</xdr:row>
      <xdr:rowOff>63500</xdr:rowOff>
    </xdr:from>
    <xdr:ext cx="4680000" cy="288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7</xdr:col>
      <xdr:colOff>444500</xdr:colOff>
      <xdr:row>38</xdr:row>
      <xdr:rowOff>76200</xdr:rowOff>
    </xdr:from>
    <xdr:ext cx="4680000" cy="2880000"/>
    <xdr:graphicFrame macro="">
      <xdr:nvGraphicFramePr>
        <xdr:cNvPr id="8" name="Chart 5">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99"/>
  <sheetViews>
    <sheetView showGridLines="0" topLeftCell="A12" workbookViewId="0">
      <selection activeCell="D41" sqref="D41"/>
    </sheetView>
  </sheetViews>
  <sheetFormatPr baseColWidth="10" defaultColWidth="8.83203125" defaultRowHeight="15" x14ac:dyDescent="0.2"/>
  <cols>
    <col min="1" max="1" width="38.33203125" customWidth="1"/>
    <col min="2" max="2" width="32" customWidth="1"/>
    <col min="3" max="5" width="16" customWidth="1"/>
    <col min="6" max="6" width="32" customWidth="1"/>
    <col min="7" max="9" width="16" customWidth="1"/>
  </cols>
  <sheetData>
    <row r="1" spans="1:9" ht="26" customHeight="1" x14ac:dyDescent="0.2">
      <c r="A1" s="9" t="s">
        <v>175</v>
      </c>
      <c r="B1" s="10"/>
      <c r="C1" s="10"/>
      <c r="D1" s="10"/>
      <c r="E1" s="10"/>
      <c r="F1" s="10"/>
      <c r="G1" s="10"/>
      <c r="H1" s="10"/>
      <c r="I1" s="10"/>
    </row>
    <row r="2" spans="1:9" x14ac:dyDescent="0.2">
      <c r="A2" s="12" t="s">
        <v>176</v>
      </c>
      <c r="B2" s="10"/>
      <c r="C2" s="10"/>
      <c r="D2" s="10"/>
      <c r="E2" s="10"/>
      <c r="F2" s="10"/>
      <c r="G2" s="10"/>
      <c r="H2" s="10"/>
      <c r="I2" s="10"/>
    </row>
    <row r="5" spans="1:9" x14ac:dyDescent="0.2">
      <c r="A5" s="13" t="s">
        <v>177</v>
      </c>
      <c r="B5" s="10"/>
      <c r="D5" s="13" t="s">
        <v>178</v>
      </c>
      <c r="E5" s="10"/>
      <c r="G5" s="13" t="s">
        <v>179</v>
      </c>
      <c r="H5" s="10"/>
    </row>
    <row r="6" spans="1:9" ht="19" customHeight="1" x14ac:dyDescent="0.2">
      <c r="A6" s="14">
        <f>COUNTA('AI Inventory'!$A$5:$A$11)</f>
        <v>7</v>
      </c>
      <c r="B6" s="10"/>
      <c r="D6" s="14">
        <f>COUNTIF('AI Inventory'!$R$5:$R$11,"Approved")</f>
        <v>3</v>
      </c>
      <c r="E6" s="10"/>
      <c r="G6" s="14">
        <f>COUNTIF('AI Inventory'!$R$5:$R$11,"Pending / Needs Documentation")</f>
        <v>2</v>
      </c>
      <c r="H6" s="10"/>
    </row>
    <row r="8" spans="1:9" x14ac:dyDescent="0.2">
      <c r="A8" s="13" t="s">
        <v>180</v>
      </c>
      <c r="B8" s="10"/>
      <c r="D8" s="13" t="s">
        <v>181</v>
      </c>
      <c r="E8" s="10"/>
      <c r="G8" s="13" t="s">
        <v>182</v>
      </c>
      <c r="H8" s="10"/>
    </row>
    <row r="9" spans="1:9" ht="19" customHeight="1" x14ac:dyDescent="0.2">
      <c r="A9" s="14">
        <f>COUNTIF('AI Inventory'!$H$5:$H$11,"High")</f>
        <v>4</v>
      </c>
      <c r="B9" s="10"/>
      <c r="D9" s="14">
        <f>COUNTIF('AI Inventory'!$H$5:$H$11,"Critical")</f>
        <v>0</v>
      </c>
      <c r="E9" s="10"/>
      <c r="G9" s="14">
        <f>COUNTIF('AI Inventory'!$N$5:$N$11,"Yes")</f>
        <v>2</v>
      </c>
      <c r="H9" s="10"/>
    </row>
    <row r="11" spans="1:9" x14ac:dyDescent="0.2">
      <c r="A11" s="13" t="s">
        <v>183</v>
      </c>
      <c r="B11" s="10"/>
      <c r="D11" s="13" t="s">
        <v>184</v>
      </c>
      <c r="E11" s="10"/>
      <c r="G11" s="13" t="s">
        <v>185</v>
      </c>
      <c r="H11" s="10"/>
    </row>
    <row r="12" spans="1:9" ht="19" customHeight="1" x14ac:dyDescent="0.2">
      <c r="A12" s="14">
        <f>COUNTIF('AI Inventory'!$L$5:$L$11,"Confidential")</f>
        <v>3</v>
      </c>
      <c r="B12" s="10"/>
      <c r="D12" s="14">
        <f>COUNTIF('AI Inventory'!$L$5:$L$11,"Sensitive")</f>
        <v>0</v>
      </c>
      <c r="E12" s="10"/>
      <c r="G12" s="14">
        <f>COUNTIF('AI Inventory'!$M$5:$M$11,"Yes")</f>
        <v>2</v>
      </c>
      <c r="H12" s="10"/>
    </row>
    <row r="14" spans="1:9" x14ac:dyDescent="0.2">
      <c r="A14" s="13" t="s">
        <v>186</v>
      </c>
      <c r="B14" s="10"/>
      <c r="D14" s="13" t="s">
        <v>187</v>
      </c>
      <c r="E14" s="10"/>
      <c r="G14" s="13" t="s">
        <v>188</v>
      </c>
      <c r="H14" s="10"/>
    </row>
    <row r="15" spans="1:9" ht="19" customHeight="1" x14ac:dyDescent="0.2">
      <c r="A15" s="14">
        <f>COUNTIFS('AI Inventory'!$A$5:$A$11,"?*",'AI Inventory'!$T$5:$T$11,"P*")</f>
        <v>7</v>
      </c>
      <c r="B15" s="10"/>
      <c r="D15" s="14">
        <f>COUNTIFS('AI Inventory'!$A$5:$A$11,"?*",'AI Inventory'!$T$5:$T$11,"")</f>
        <v>0</v>
      </c>
      <c r="E15" s="10"/>
      <c r="G15" s="14">
        <f>SUMPRODUCT(--(COUNTIF('AI Inventory'!$T$5:$T$11,Profiles!$A$4:$A$23)&gt;0))</f>
        <v>5</v>
      </c>
      <c r="H15" s="10"/>
    </row>
    <row r="17" spans="1:8" x14ac:dyDescent="0.2">
      <c r="A17" s="13" t="s">
        <v>189</v>
      </c>
      <c r="B17" s="10"/>
    </row>
    <row r="18" spans="1:8" ht="19" customHeight="1" x14ac:dyDescent="0.2">
      <c r="A18" s="14">
        <f>COUNTIFS('Risk Assessment'!$A$4:$A$10,"?*",'Risk Assessment'!$F$4:$F$10,"High")+COUNTIFS('Risk Assessment'!$A$4:$A$10,"?*",'Risk Assessment'!$F$4:$F$10,"Critical")</f>
        <v>5</v>
      </c>
      <c r="B18" s="10"/>
    </row>
    <row r="21" spans="1:8" x14ac:dyDescent="0.2">
      <c r="A21" s="16" t="s">
        <v>190</v>
      </c>
      <c r="B21" s="10"/>
      <c r="C21" s="10"/>
      <c r="D21" s="10"/>
      <c r="E21" s="10"/>
      <c r="F21" s="10"/>
      <c r="G21" s="10"/>
      <c r="H21" s="10"/>
    </row>
    <row r="22" spans="1:8" ht="16" customHeight="1" x14ac:dyDescent="0.2">
      <c r="A22" s="1" t="s">
        <v>191</v>
      </c>
      <c r="B22" s="1" t="s">
        <v>192</v>
      </c>
      <c r="C22" s="1" t="s">
        <v>193</v>
      </c>
      <c r="E22" s="1" t="s">
        <v>191</v>
      </c>
      <c r="F22" s="1" t="s">
        <v>192</v>
      </c>
      <c r="G22" s="1" t="s">
        <v>193</v>
      </c>
    </row>
    <row r="23" spans="1:8" ht="16" customHeight="1" x14ac:dyDescent="0.2">
      <c r="A23" s="2" t="s">
        <v>13</v>
      </c>
      <c r="B23" s="2" t="str">
        <f>INDEX(Profiles!$B$4:$B$23,MATCH(A23,Profiles!$A$4:$A$23,0))</f>
        <v>Enterprise Productivity Assistant</v>
      </c>
      <c r="C23" s="2">
        <f>COUNTIF('AI Inventory'!$T$5:$T$11,A23)</f>
        <v>1</v>
      </c>
      <c r="E23" s="2" t="s">
        <v>99</v>
      </c>
      <c r="F23" s="2" t="str">
        <f>INDEX(Profiles!$B$4:$B$23,MATCH(E23,Profiles!$A$4:$A$23,0))</f>
        <v>Finance and Reporting Support</v>
      </c>
      <c r="G23" s="2">
        <f>COUNTIF('AI Inventory'!$T$5:$T$11,E23)</f>
        <v>0</v>
      </c>
    </row>
    <row r="24" spans="1:8" ht="16" customHeight="1" x14ac:dyDescent="0.2">
      <c r="A24" s="2" t="s">
        <v>24</v>
      </c>
      <c r="B24" s="2" t="str">
        <f>INDEX(Profiles!$B$4:$B$23,MATCH(A24,Profiles!$A$4:$A$23,0))</f>
        <v>Evaluation and Proof of Concept</v>
      </c>
      <c r="C24" s="2">
        <f>COUNTIF('AI Inventory'!$T$5:$T$11,A24)</f>
        <v>2</v>
      </c>
      <c r="E24" s="2" t="s">
        <v>106</v>
      </c>
      <c r="F24" s="2" t="str">
        <f>INDEX(Profiles!$B$4:$B$23,MATCH(E24,Profiles!$A$4:$A$23,0))</f>
        <v>Security Operations Assistant</v>
      </c>
      <c r="G24" s="2">
        <f>COUNTIF('AI Inventory'!$T$5:$T$11,E24)</f>
        <v>0</v>
      </c>
    </row>
    <row r="25" spans="1:8" ht="16" customHeight="1" x14ac:dyDescent="0.2">
      <c r="A25" s="2" t="s">
        <v>35</v>
      </c>
      <c r="B25" s="2" t="str">
        <f>INDEX(Profiles!$B$4:$B$23,MATCH(A25,Profiles!$A$4:$A$23,0))</f>
        <v>Domain and Technical Assistant</v>
      </c>
      <c r="C25" s="2">
        <f>COUNTIF('AI Inventory'!$T$5:$T$11,A25)</f>
        <v>1</v>
      </c>
      <c r="E25" s="2" t="s">
        <v>113</v>
      </c>
      <c r="F25" s="2" t="str">
        <f>INDEX(Profiles!$B$4:$B$23,MATCH(E25,Profiles!$A$4:$A$23,0))</f>
        <v>Data Analytics and Business Intelligence</v>
      </c>
      <c r="G25" s="2">
        <f>COUNTIF('AI Inventory'!$T$5:$T$11,E25)</f>
        <v>0</v>
      </c>
    </row>
    <row r="26" spans="1:8" ht="32" customHeight="1" x14ac:dyDescent="0.2">
      <c r="A26" s="2" t="s">
        <v>42</v>
      </c>
      <c r="B26" s="2" t="str">
        <f>INDEX(Profiles!$B$4:$B$23,MATCH(A26,Profiles!$A$4:$A$23,0))</f>
        <v>Developer and Code Assistant</v>
      </c>
      <c r="C26" s="2">
        <f>COUNTIF('AI Inventory'!$T$5:$T$11,A26)</f>
        <v>0</v>
      </c>
      <c r="E26" s="2" t="s">
        <v>122</v>
      </c>
      <c r="F26" s="2" t="str">
        <f>INDEX(Profiles!$B$4:$B$23,MATCH(E26,Profiles!$A$4:$A$23,0))</f>
        <v>Marketing and Communications Content</v>
      </c>
      <c r="G26" s="2">
        <f>COUNTIF('AI Inventory'!$T$5:$T$11,E26)</f>
        <v>0</v>
      </c>
    </row>
    <row r="27" spans="1:8" ht="16" customHeight="1" x14ac:dyDescent="0.2">
      <c r="A27" s="2" t="s">
        <v>49</v>
      </c>
      <c r="B27" s="2" t="str">
        <f>INDEX(Profiles!$B$4:$B$23,MATCH(A27,Profiles!$A$4:$A$23,0))</f>
        <v>Agentic Automation</v>
      </c>
      <c r="C27" s="2">
        <f>COUNTIF('AI Inventory'!$T$5:$T$11,A27)</f>
        <v>1</v>
      </c>
      <c r="E27" s="2" t="s">
        <v>129</v>
      </c>
      <c r="F27" s="2" t="str">
        <f>INDEX(Profiles!$B$4:$B$23,MATCH(E27,Profiles!$A$4:$A$23,0))</f>
        <v>Procurement and Vendor Analysis</v>
      </c>
      <c r="G27" s="2">
        <f>COUNTIF('AI Inventory'!$T$5:$T$11,E27)</f>
        <v>0</v>
      </c>
    </row>
    <row r="28" spans="1:8" ht="32" customHeight="1" x14ac:dyDescent="0.2">
      <c r="A28" s="2" t="s">
        <v>58</v>
      </c>
      <c r="B28" s="2" t="str">
        <f>INDEX(Profiles!$B$4:$B$23,MATCH(A28,Profiles!$A$4:$A$23,0))</f>
        <v>Customer or Supplier Facing</v>
      </c>
      <c r="C28" s="2">
        <f>COUNTIF('AI Inventory'!$T$5:$T$11,A28)</f>
        <v>0</v>
      </c>
      <c r="E28" s="2" t="s">
        <v>136</v>
      </c>
      <c r="F28" s="2" t="str">
        <f>INDEX(Profiles!$B$4:$B$23,MATCH(E28,Profiles!$A$4:$A$23,0))</f>
        <v>Meeting Transcription and Summarization</v>
      </c>
      <c r="G28" s="2">
        <f>COUNTIF('AI Inventory'!$T$5:$T$11,E28)</f>
        <v>0</v>
      </c>
    </row>
    <row r="29" spans="1:8" ht="16" customHeight="1" x14ac:dyDescent="0.2">
      <c r="A29" s="2" t="s">
        <v>66</v>
      </c>
      <c r="B29" s="2" t="str">
        <f>INDEX(Profiles!$B$4:$B$23,MATCH(A29,Profiles!$A$4:$A$23,0))</f>
        <v>People and HR Decision Support</v>
      </c>
      <c r="C29" s="2">
        <f>COUNTIF('AI Inventory'!$T$5:$T$11,A29)</f>
        <v>0</v>
      </c>
      <c r="E29" s="2" t="s">
        <v>143</v>
      </c>
      <c r="F29" s="2" t="str">
        <f>INDEX(Profiles!$B$4:$B$23,MATCH(E29,Profiles!$A$4:$A$23,0))</f>
        <v>Training and Knowledge Assistant</v>
      </c>
      <c r="G29" s="2">
        <f>COUNTIF('AI Inventory'!$T$5:$T$11,E29)</f>
        <v>0</v>
      </c>
    </row>
    <row r="30" spans="1:8" ht="16" customHeight="1" x14ac:dyDescent="0.2">
      <c r="A30" s="2" t="s">
        <v>76</v>
      </c>
      <c r="B30" s="2" t="str">
        <f>INDEX(Profiles!$B$4:$B$23,MATCH(A30,Profiles!$A$4:$A$23,0))</f>
        <v>Operational Technology and Laboratory</v>
      </c>
      <c r="C30" s="2">
        <f>COUNTIF('AI Inventory'!$T$5:$T$11,A30)</f>
        <v>0</v>
      </c>
      <c r="E30" s="2" t="s">
        <v>149</v>
      </c>
      <c r="F30" s="2" t="str">
        <f>INDEX(Profiles!$B$4:$B$23,MATCH(E30,Profiles!$A$4:$A$23,0))</f>
        <v>Embedded AI Feature in Existing SaaS</v>
      </c>
      <c r="G30" s="2">
        <f>COUNTIF('AI Inventory'!$T$5:$T$11,E30)</f>
        <v>0</v>
      </c>
    </row>
    <row r="31" spans="1:8" ht="32" customHeight="1" x14ac:dyDescent="0.2">
      <c r="A31" s="2" t="s">
        <v>85</v>
      </c>
      <c r="B31" s="2" t="str">
        <f>INDEX(Profiles!$B$4:$B$23,MATCH(A31,Profiles!$A$4:$A$23,0))</f>
        <v>Research and Formulation Support</v>
      </c>
      <c r="C31" s="2">
        <f>COUNTIF('AI Inventory'!$T$5:$T$11,A31)</f>
        <v>0</v>
      </c>
      <c r="E31" s="2" t="s">
        <v>160</v>
      </c>
      <c r="F31" s="2" t="str">
        <f>INDEX(Profiles!$B$4:$B$23,MATCH(E31,Profiles!$A$4:$A$23,0))</f>
        <v>Synthetic Media Generation (Video &amp; Audio)</v>
      </c>
      <c r="G31" s="2">
        <f>COUNTIF('AI Inventory'!$T$5:$T$11,E31)</f>
        <v>2</v>
      </c>
    </row>
    <row r="32" spans="1:8" ht="32" customHeight="1" x14ac:dyDescent="0.2">
      <c r="A32" s="2" t="s">
        <v>93</v>
      </c>
      <c r="B32" s="2" t="str">
        <f>INDEX(Profiles!$B$4:$B$23,MATCH(A32,Profiles!$A$4:$A$23,0))</f>
        <v>Legal and Contract Analysis</v>
      </c>
      <c r="C32" s="2">
        <f>COUNTIF('AI Inventory'!$T$5:$T$11,A32)</f>
        <v>0</v>
      </c>
      <c r="E32" s="2" t="s">
        <v>167</v>
      </c>
      <c r="F32" s="2" t="str">
        <f>INDEX(Profiles!$B$4:$B$23,MATCH(E32,Profiles!$A$4:$A$23,0))</f>
        <v>Identity Cloning &amp; Impersonation (Voice or Likeness)</v>
      </c>
      <c r="G32" s="2">
        <f>COUNTIF('AI Inventory'!$T$5:$T$11,E32)</f>
        <v>0</v>
      </c>
    </row>
    <row r="34" spans="1:9" ht="16" customHeight="1" x14ac:dyDescent="0.2">
      <c r="A34" s="15" t="s">
        <v>194</v>
      </c>
      <c r="B34" s="10"/>
      <c r="C34" s="10"/>
      <c r="D34" s="10"/>
      <c r="E34" s="10"/>
      <c r="F34" s="10"/>
      <c r="G34" s="10"/>
      <c r="H34" s="10"/>
      <c r="I34" s="10"/>
    </row>
    <row r="35" spans="1:9" ht="16" customHeight="1" x14ac:dyDescent="0.2">
      <c r="A35" s="1" t="s">
        <v>195</v>
      </c>
      <c r="B35" s="1" t="s">
        <v>196</v>
      </c>
      <c r="C35" s="1" t="s">
        <v>197</v>
      </c>
      <c r="D35" s="1" t="s">
        <v>198</v>
      </c>
    </row>
    <row r="36" spans="1:9" ht="80" customHeight="1" x14ac:dyDescent="0.2">
      <c r="A36" s="2" t="s">
        <v>199</v>
      </c>
      <c r="B36" s="2" t="s">
        <v>200</v>
      </c>
      <c r="C36" s="2" t="s">
        <v>17</v>
      </c>
      <c r="D36" s="2" t="s">
        <v>201</v>
      </c>
    </row>
    <row r="37" spans="1:9" ht="80" customHeight="1" x14ac:dyDescent="0.2">
      <c r="A37" s="2" t="s">
        <v>202</v>
      </c>
      <c r="B37" s="2" t="s">
        <v>203</v>
      </c>
      <c r="C37" s="2" t="s">
        <v>17</v>
      </c>
      <c r="D37" s="2" t="s">
        <v>201</v>
      </c>
    </row>
    <row r="38" spans="1:9" ht="96" customHeight="1" x14ac:dyDescent="0.2">
      <c r="A38" s="2" t="s">
        <v>204</v>
      </c>
      <c r="B38" s="2" t="s">
        <v>205</v>
      </c>
      <c r="C38" s="2" t="s">
        <v>206</v>
      </c>
      <c r="D38" s="2" t="s">
        <v>201</v>
      </c>
    </row>
    <row r="39" spans="1:9" ht="48" customHeight="1" x14ac:dyDescent="0.2">
      <c r="A39" s="2" t="s">
        <v>207</v>
      </c>
      <c r="B39" s="2" t="s">
        <v>200</v>
      </c>
      <c r="C39" s="2" t="s">
        <v>206</v>
      </c>
      <c r="D39" s="2" t="s">
        <v>201</v>
      </c>
    </row>
    <row r="40" spans="1:9" ht="112" customHeight="1" x14ac:dyDescent="0.2">
      <c r="A40" s="2" t="s">
        <v>208</v>
      </c>
      <c r="B40" s="2" t="s">
        <v>209</v>
      </c>
      <c r="C40" s="2" t="s">
        <v>17</v>
      </c>
      <c r="D40" s="2" t="s">
        <v>201</v>
      </c>
    </row>
    <row r="41" spans="1:9" ht="96" customHeight="1" x14ac:dyDescent="0.2">
      <c r="A41" s="2" t="s">
        <v>210</v>
      </c>
      <c r="B41" s="2" t="s">
        <v>211</v>
      </c>
      <c r="C41" s="2" t="s">
        <v>206</v>
      </c>
      <c r="D41" s="2" t="s">
        <v>201</v>
      </c>
    </row>
    <row r="44" spans="1:9" ht="16" customHeight="1" x14ac:dyDescent="0.2">
      <c r="A44" s="1" t="s">
        <v>212</v>
      </c>
      <c r="B44" s="1" t="s">
        <v>193</v>
      </c>
    </row>
    <row r="45" spans="1:9" x14ac:dyDescent="0.2">
      <c r="A45" t="s">
        <v>213</v>
      </c>
      <c r="B45">
        <f>COUNTIF('AI Inventory'!$H$5:$H$11,A45)</f>
        <v>0</v>
      </c>
    </row>
    <row r="46" spans="1:9" x14ac:dyDescent="0.2">
      <c r="A46" t="s">
        <v>28</v>
      </c>
      <c r="B46">
        <f>COUNTIF('AI Inventory'!$H$5:$H$11,A46)</f>
        <v>3</v>
      </c>
    </row>
    <row r="47" spans="1:9" x14ac:dyDescent="0.2">
      <c r="A47" t="s">
        <v>17</v>
      </c>
      <c r="B47">
        <f>COUNTIF('AI Inventory'!$H$5:$H$11,A47)</f>
        <v>4</v>
      </c>
    </row>
    <row r="48" spans="1:9" x14ac:dyDescent="0.2">
      <c r="A48" t="s">
        <v>70</v>
      </c>
      <c r="B48">
        <f>COUNTIF('AI Inventory'!$H$5:$H$11,A48)</f>
        <v>0</v>
      </c>
    </row>
    <row r="49" spans="1:2" x14ac:dyDescent="0.2">
      <c r="A49" s="3" t="s">
        <v>214</v>
      </c>
    </row>
    <row r="50" spans="1:2" ht="16" customHeight="1" x14ac:dyDescent="0.2">
      <c r="A50" s="1" t="s">
        <v>215</v>
      </c>
      <c r="B50" s="1" t="s">
        <v>193</v>
      </c>
    </row>
    <row r="51" spans="1:2" x14ac:dyDescent="0.2">
      <c r="A51" t="s">
        <v>213</v>
      </c>
      <c r="B51">
        <f>COUNTIF('Risk Assessment'!$F$4:$F$10,A51)</f>
        <v>0</v>
      </c>
    </row>
    <row r="52" spans="1:2" x14ac:dyDescent="0.2">
      <c r="A52" t="s">
        <v>28</v>
      </c>
      <c r="B52">
        <f>COUNTIF('Risk Assessment'!$F$4:$F$10,A52)</f>
        <v>2</v>
      </c>
    </row>
    <row r="53" spans="1:2" x14ac:dyDescent="0.2">
      <c r="A53" t="s">
        <v>17</v>
      </c>
      <c r="B53">
        <f>COUNTIF('Risk Assessment'!$F$4:$F$10,A53)</f>
        <v>2</v>
      </c>
    </row>
    <row r="54" spans="1:2" x14ac:dyDescent="0.2">
      <c r="A54" t="s">
        <v>70</v>
      </c>
      <c r="B54">
        <f>COUNTIF('Risk Assessment'!$F$4:$F$10,A54)</f>
        <v>3</v>
      </c>
    </row>
    <row r="55" spans="1:2" x14ac:dyDescent="0.2">
      <c r="A55" s="3" t="s">
        <v>216</v>
      </c>
    </row>
    <row r="56" spans="1:2" ht="16" customHeight="1" x14ac:dyDescent="0.2">
      <c r="A56" s="1" t="s">
        <v>217</v>
      </c>
      <c r="B56" s="1" t="s">
        <v>193</v>
      </c>
    </row>
    <row r="57" spans="1:2" x14ac:dyDescent="0.2">
      <c r="A57" t="s">
        <v>218</v>
      </c>
      <c r="B57">
        <f>COUNTIF('AI Inventory'!$F$5:$F$11,"*"&amp;A57&amp;"*")</f>
        <v>4</v>
      </c>
    </row>
    <row r="58" spans="1:2" x14ac:dyDescent="0.2">
      <c r="A58" t="s">
        <v>219</v>
      </c>
      <c r="B58">
        <f>COUNTIF('AI Inventory'!$F$5:$F$11,"*"&amp;A58&amp;"*")</f>
        <v>1</v>
      </c>
    </row>
    <row r="59" spans="1:2" x14ac:dyDescent="0.2">
      <c r="A59" t="s">
        <v>220</v>
      </c>
      <c r="B59">
        <f>COUNTIF('AI Inventory'!$F$5:$F$11,"*"&amp;A59&amp;"*")</f>
        <v>1</v>
      </c>
    </row>
    <row r="60" spans="1:2" x14ac:dyDescent="0.2">
      <c r="A60" t="s">
        <v>221</v>
      </c>
      <c r="B60">
        <f>COUNTIF('AI Inventory'!$F$5:$F$11,"*"&amp;A60&amp;"*")</f>
        <v>1</v>
      </c>
    </row>
    <row r="61" spans="1:2" x14ac:dyDescent="0.2">
      <c r="A61" t="s">
        <v>222</v>
      </c>
      <c r="B61">
        <f>COUNTIF('AI Inventory'!$F$5:$F$11,"*"&amp;A61&amp;"*")</f>
        <v>0</v>
      </c>
    </row>
    <row r="64" spans="1:2" ht="16" customHeight="1" x14ac:dyDescent="0.2">
      <c r="A64" s="1" t="s">
        <v>223</v>
      </c>
      <c r="B64" s="1" t="s">
        <v>193</v>
      </c>
    </row>
    <row r="65" spans="1:2" x14ac:dyDescent="0.2">
      <c r="A65" t="s">
        <v>224</v>
      </c>
      <c r="B65">
        <f>COUNTIF('AI Inventory'!$L$5:$L$11,A65)</f>
        <v>0</v>
      </c>
    </row>
    <row r="66" spans="1:2" x14ac:dyDescent="0.2">
      <c r="A66" t="s">
        <v>27</v>
      </c>
      <c r="B66">
        <f>COUNTIF('AI Inventory'!$L$5:$L$11,A66)</f>
        <v>4</v>
      </c>
    </row>
    <row r="67" spans="1:2" x14ac:dyDescent="0.2">
      <c r="A67" t="s">
        <v>16</v>
      </c>
      <c r="B67">
        <f>COUNTIF('AI Inventory'!$L$5:$L$11,A67)</f>
        <v>3</v>
      </c>
    </row>
    <row r="68" spans="1:2" x14ac:dyDescent="0.2">
      <c r="A68" t="s">
        <v>69</v>
      </c>
      <c r="B68">
        <f>COUNTIF('AI Inventory'!$L$5:$L$11,A68)</f>
        <v>0</v>
      </c>
    </row>
    <row r="71" spans="1:2" ht="16" customHeight="1" x14ac:dyDescent="0.2">
      <c r="A71" s="1" t="s">
        <v>225</v>
      </c>
      <c r="B71" s="1" t="s">
        <v>193</v>
      </c>
    </row>
    <row r="72" spans="1:2" x14ac:dyDescent="0.2">
      <c r="A72" t="s">
        <v>226</v>
      </c>
      <c r="B72">
        <f>COUNTIF('AI Inventory'!$R$5:$R$11,A72)</f>
        <v>3</v>
      </c>
    </row>
    <row r="73" spans="1:2" x14ac:dyDescent="0.2">
      <c r="A73" t="s">
        <v>227</v>
      </c>
      <c r="B73">
        <f>COUNTIF('AI Inventory'!$R$5:$R$11,A73)</f>
        <v>2</v>
      </c>
    </row>
    <row r="74" spans="1:2" x14ac:dyDescent="0.2">
      <c r="A74" t="s">
        <v>228</v>
      </c>
      <c r="B74">
        <f>COUNTIF('AI Inventory'!$R$5:$R$11,A74)</f>
        <v>0</v>
      </c>
    </row>
    <row r="75" spans="1:2" x14ac:dyDescent="0.2">
      <c r="A75" t="s">
        <v>229</v>
      </c>
      <c r="B75">
        <f>COUNTIF('AI Inventory'!$R$5:$R$11,A75)</f>
        <v>1</v>
      </c>
    </row>
    <row r="76" spans="1:2" x14ac:dyDescent="0.2">
      <c r="A76" t="s">
        <v>230</v>
      </c>
      <c r="B76">
        <f>COUNTIF('AI Inventory'!$R$5:$R$11,A76)</f>
        <v>1</v>
      </c>
    </row>
    <row r="78" spans="1:2" ht="16" customHeight="1" x14ac:dyDescent="0.2">
      <c r="A78" s="1" t="s">
        <v>231</v>
      </c>
      <c r="B78" s="1" t="s">
        <v>193</v>
      </c>
    </row>
    <row r="79" spans="1:2" ht="16" customHeight="1" x14ac:dyDescent="0.25">
      <c r="A79" s="7" t="s">
        <v>232</v>
      </c>
      <c r="B79" s="8">
        <f>COUNTIF('Risk &amp; Harm Assessment'!C5:C11,"Yes")</f>
        <v>7</v>
      </c>
    </row>
    <row r="80" spans="1:2" ht="16" customHeight="1" x14ac:dyDescent="0.25">
      <c r="A80" s="7" t="s">
        <v>233</v>
      </c>
      <c r="B80" s="8">
        <f>COUNTIF('Risk &amp; Harm Assessment'!D5:D11,"Yes")</f>
        <v>5</v>
      </c>
    </row>
    <row r="81" spans="1:2" ht="16" customHeight="1" x14ac:dyDescent="0.25">
      <c r="A81" s="7" t="s">
        <v>234</v>
      </c>
      <c r="B81" s="8">
        <f>COUNTIF('Risk &amp; Harm Assessment'!E5:E11,"Yes")</f>
        <v>7</v>
      </c>
    </row>
    <row r="82" spans="1:2" ht="16" customHeight="1" x14ac:dyDescent="0.25">
      <c r="A82" s="7" t="s">
        <v>235</v>
      </c>
      <c r="B82" s="8">
        <f>COUNTIF('Risk &amp; Harm Assessment'!F5:F11,"Yes")</f>
        <v>7</v>
      </c>
    </row>
    <row r="83" spans="1:2" ht="16" customHeight="1" x14ac:dyDescent="0.25">
      <c r="A83" s="7" t="s">
        <v>236</v>
      </c>
      <c r="B83" s="8">
        <f>COUNTIF('Risk &amp; Harm Assessment'!G5:G11,"Yes")</f>
        <v>5</v>
      </c>
    </row>
    <row r="84" spans="1:2" ht="16" customHeight="1" x14ac:dyDescent="0.25">
      <c r="A84" s="7" t="s">
        <v>237</v>
      </c>
      <c r="B84" s="8">
        <f>COUNTIF('Risk &amp; Harm Assessment'!H5:H11,"Yes")</f>
        <v>1</v>
      </c>
    </row>
    <row r="85" spans="1:2" ht="16" customHeight="1" x14ac:dyDescent="0.25">
      <c r="A85" s="7" t="s">
        <v>238</v>
      </c>
      <c r="B85" s="8">
        <f>COUNTIF('Risk &amp; Harm Assessment'!I5:I11,"Yes")</f>
        <v>0</v>
      </c>
    </row>
    <row r="86" spans="1:2" ht="16" customHeight="1" x14ac:dyDescent="0.25">
      <c r="A86" s="7" t="s">
        <v>239</v>
      </c>
      <c r="B86" s="8">
        <f>COUNTIF('Risk &amp; Harm Assessment'!J5:J11,"Yes")</f>
        <v>7</v>
      </c>
    </row>
    <row r="87" spans="1:2" ht="16" customHeight="1" x14ac:dyDescent="0.25">
      <c r="A87" s="7" t="s">
        <v>240</v>
      </c>
      <c r="B87" s="8">
        <f>COUNTIF('Risk &amp; Harm Assessment'!K5:K11,"Yes")</f>
        <v>4</v>
      </c>
    </row>
    <row r="88" spans="1:2" ht="16" customHeight="1" x14ac:dyDescent="0.25">
      <c r="A88" s="7" t="s">
        <v>241</v>
      </c>
      <c r="B88" s="8">
        <f>COUNTIF('Risk &amp; Harm Assessment'!L5:L11,"Yes")</f>
        <v>7</v>
      </c>
    </row>
    <row r="89" spans="1:2" ht="16" customHeight="1" x14ac:dyDescent="0.25">
      <c r="A89" s="7" t="s">
        <v>242</v>
      </c>
      <c r="B89" s="8">
        <f>COUNTIF('Risk &amp; Harm Assessment'!M5:M11,"Yes")</f>
        <v>7</v>
      </c>
    </row>
    <row r="90" spans="1:2" ht="16" customHeight="1" x14ac:dyDescent="0.25">
      <c r="A90" s="7" t="s">
        <v>243</v>
      </c>
      <c r="B90" s="8">
        <f>COUNTIF('Risk &amp; Harm Assessment'!N5:N11,"Yes")</f>
        <v>3</v>
      </c>
    </row>
    <row r="91" spans="1:2" ht="16" customHeight="1" x14ac:dyDescent="0.25">
      <c r="A91" s="7" t="s">
        <v>244</v>
      </c>
      <c r="B91" s="8">
        <f>COUNTIF('Risk &amp; Harm Assessment'!O5:O11,"Yes")</f>
        <v>5</v>
      </c>
    </row>
    <row r="93" spans="1:2" ht="16" customHeight="1" x14ac:dyDescent="0.2">
      <c r="A93" s="1" t="s">
        <v>245</v>
      </c>
      <c r="B93" s="1" t="s">
        <v>193</v>
      </c>
    </row>
    <row r="94" spans="1:2" ht="16" customHeight="1" x14ac:dyDescent="0.25">
      <c r="A94" s="7" t="s">
        <v>246</v>
      </c>
      <c r="B94" s="8">
        <f>COUNTIF('Risk &amp; Harm Assessment'!P5:P11,"Yes")</f>
        <v>4</v>
      </c>
    </row>
    <row r="95" spans="1:2" ht="16" customHeight="1" x14ac:dyDescent="0.25">
      <c r="A95" s="7" t="s">
        <v>247</v>
      </c>
      <c r="B95" s="8">
        <f>COUNTIF('Risk &amp; Harm Assessment'!Q5:Q11,"Yes")</f>
        <v>7</v>
      </c>
    </row>
    <row r="96" spans="1:2" ht="16" customHeight="1" x14ac:dyDescent="0.25">
      <c r="A96" s="7" t="s">
        <v>248</v>
      </c>
      <c r="B96" s="8">
        <f>COUNTIF('Risk &amp; Harm Assessment'!R5:R11,"Yes")</f>
        <v>1</v>
      </c>
    </row>
    <row r="97" spans="1:2" ht="16" customHeight="1" x14ac:dyDescent="0.25">
      <c r="A97" s="7" t="s">
        <v>249</v>
      </c>
      <c r="B97" s="8">
        <f>COUNTIF('Risk &amp; Harm Assessment'!S5:S11,"Yes")</f>
        <v>5</v>
      </c>
    </row>
    <row r="98" spans="1:2" ht="16" customHeight="1" x14ac:dyDescent="0.25">
      <c r="A98" s="7" t="s">
        <v>250</v>
      </c>
      <c r="B98" s="8">
        <f>COUNTIF('Risk &amp; Harm Assessment'!T5:T11,"Yes")</f>
        <v>7</v>
      </c>
    </row>
    <row r="99" spans="1:2" ht="16" customHeight="1" x14ac:dyDescent="0.25">
      <c r="A99" s="7" t="s">
        <v>251</v>
      </c>
      <c r="B99" s="8">
        <f>COUNTIF('Risk &amp; Harm Assessment'!U5:U11,"Yes")</f>
        <v>7</v>
      </c>
    </row>
  </sheetData>
  <mergeCells count="30">
    <mergeCell ref="A34:I34"/>
    <mergeCell ref="A8:B8"/>
    <mergeCell ref="D9:E9"/>
    <mergeCell ref="D12:E12"/>
    <mergeCell ref="D8:E8"/>
    <mergeCell ref="D15:E15"/>
    <mergeCell ref="A18:B18"/>
    <mergeCell ref="A12:B12"/>
    <mergeCell ref="A21:H21"/>
    <mergeCell ref="G15:H15"/>
    <mergeCell ref="A17:B17"/>
    <mergeCell ref="D5:E5"/>
    <mergeCell ref="A6:B6"/>
    <mergeCell ref="D6:E6"/>
    <mergeCell ref="A1:I1"/>
    <mergeCell ref="D14:E14"/>
    <mergeCell ref="A9:B9"/>
    <mergeCell ref="G9:H9"/>
    <mergeCell ref="A5:B5"/>
    <mergeCell ref="G5:H5"/>
    <mergeCell ref="A2:I2"/>
    <mergeCell ref="D11:E11"/>
    <mergeCell ref="G6:H6"/>
    <mergeCell ref="G12:H12"/>
    <mergeCell ref="A15:B15"/>
    <mergeCell ref="A11:B11"/>
    <mergeCell ref="G11:H11"/>
    <mergeCell ref="G8:H8"/>
    <mergeCell ref="A14:B14"/>
    <mergeCell ref="G14:H14"/>
  </mergeCells>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1"/>
  <sheetViews>
    <sheetView tabSelected="1" zoomScale="150" workbookViewId="0">
      <pane xSplit="2" ySplit="4" topLeftCell="D5" activePane="bottomRight" state="frozen"/>
      <selection pane="topRight"/>
      <selection pane="bottomLeft"/>
      <selection pane="bottomRight" activeCell="G7" sqref="G7"/>
    </sheetView>
  </sheetViews>
  <sheetFormatPr baseColWidth="10" defaultColWidth="8.83203125" defaultRowHeight="15" x14ac:dyDescent="0.2"/>
  <cols>
    <col min="1" max="1" width="10" customWidth="1"/>
    <col min="2" max="2" width="16" customWidth="1"/>
    <col min="3" max="3" width="20" customWidth="1"/>
    <col min="4" max="4" width="40" customWidth="1"/>
    <col min="5" max="5" width="34" customWidth="1"/>
    <col min="6" max="6" width="20" customWidth="1"/>
    <col min="7" max="7" width="46" customWidth="1"/>
    <col min="8" max="8" width="12" customWidth="1"/>
    <col min="9" max="9" width="16" customWidth="1"/>
    <col min="10" max="10" width="22" customWidth="1"/>
    <col min="11" max="11" width="20" customWidth="1"/>
    <col min="12" max="12" width="18" customWidth="1"/>
    <col min="13" max="13" width="16" customWidth="1"/>
    <col min="14" max="14" width="14" customWidth="1"/>
    <col min="15" max="15" width="24" customWidth="1"/>
    <col min="16" max="16" width="22" customWidth="1"/>
    <col min="17" max="17" width="14" customWidth="1"/>
    <col min="18" max="19" width="26" customWidth="1"/>
    <col min="20" max="20" width="16" customWidth="1"/>
    <col min="21" max="21" width="30" customWidth="1"/>
    <col min="22" max="22" width="34" customWidth="1"/>
    <col min="23" max="24" width="22" customWidth="1"/>
    <col min="25" max="25" width="46" customWidth="1"/>
    <col min="26" max="26" width="28" customWidth="1"/>
  </cols>
  <sheetData>
    <row r="1" spans="1:26" ht="26" customHeight="1" x14ac:dyDescent="0.2">
      <c r="A1" s="9" t="s">
        <v>252</v>
      </c>
      <c r="B1" s="10"/>
      <c r="C1" s="10"/>
      <c r="D1" s="10"/>
      <c r="E1" s="10"/>
      <c r="F1" s="10"/>
      <c r="G1" s="10"/>
      <c r="H1" s="10"/>
      <c r="I1" s="10"/>
      <c r="J1" s="10"/>
      <c r="K1" s="10"/>
      <c r="L1" s="10"/>
      <c r="M1" s="10"/>
      <c r="N1" s="10"/>
      <c r="O1" s="10"/>
      <c r="P1" s="10"/>
      <c r="Q1" s="10"/>
      <c r="R1" s="10"/>
      <c r="S1" s="10"/>
      <c r="T1" s="10"/>
      <c r="U1" s="10"/>
      <c r="V1" s="10"/>
      <c r="W1" s="10"/>
      <c r="X1" s="10"/>
      <c r="Y1" s="10"/>
      <c r="Z1" s="10"/>
    </row>
    <row r="2" spans="1:26" x14ac:dyDescent="0.2">
      <c r="A2" s="12" t="s">
        <v>253</v>
      </c>
      <c r="B2" s="10"/>
      <c r="C2" s="10"/>
      <c r="D2" s="10"/>
      <c r="E2" s="10"/>
      <c r="F2" s="10"/>
      <c r="G2" s="10"/>
      <c r="H2" s="10"/>
      <c r="I2" s="10"/>
      <c r="J2" s="10"/>
      <c r="K2" s="10"/>
      <c r="L2" s="10"/>
      <c r="M2" s="10"/>
      <c r="N2" s="10"/>
      <c r="O2" s="10"/>
      <c r="P2" s="10"/>
      <c r="Q2" s="10"/>
      <c r="R2" s="10"/>
      <c r="S2" s="10"/>
      <c r="T2" s="10"/>
      <c r="U2" s="10"/>
      <c r="V2" s="10"/>
      <c r="W2" s="10"/>
      <c r="X2" s="10"/>
      <c r="Y2" s="10"/>
      <c r="Z2" s="10"/>
    </row>
    <row r="3" spans="1:26" x14ac:dyDescent="0.2">
      <c r="A3" s="11" t="s">
        <v>254</v>
      </c>
      <c r="B3" s="10"/>
      <c r="C3" s="10"/>
      <c r="D3" s="10"/>
      <c r="E3" s="10"/>
      <c r="F3" s="10"/>
      <c r="G3" s="10"/>
      <c r="H3" s="10"/>
      <c r="I3" s="10"/>
      <c r="J3" s="10"/>
      <c r="K3" s="10"/>
      <c r="L3" s="10"/>
      <c r="M3" s="10"/>
      <c r="N3" s="10"/>
      <c r="O3" s="10"/>
      <c r="P3" s="10"/>
      <c r="Q3" s="10"/>
      <c r="R3" s="10"/>
      <c r="S3" s="10"/>
      <c r="T3" s="10"/>
      <c r="U3" s="10"/>
      <c r="V3" s="10"/>
      <c r="W3" s="10"/>
      <c r="X3" s="10"/>
      <c r="Y3" s="10"/>
      <c r="Z3" s="10"/>
    </row>
    <row r="4" spans="1:26" ht="30" customHeight="1" x14ac:dyDescent="0.2">
      <c r="A4" s="1" t="s">
        <v>255</v>
      </c>
      <c r="B4" s="1" t="s">
        <v>256</v>
      </c>
      <c r="C4" s="1" t="s">
        <v>257</v>
      </c>
      <c r="D4" s="1" t="s">
        <v>258</v>
      </c>
      <c r="E4" s="1" t="s">
        <v>259</v>
      </c>
      <c r="F4" s="1" t="s">
        <v>217</v>
      </c>
      <c r="G4" s="1" t="s">
        <v>260</v>
      </c>
      <c r="H4" s="1" t="s">
        <v>212</v>
      </c>
      <c r="I4" s="1" t="s">
        <v>261</v>
      </c>
      <c r="J4" s="1" t="s">
        <v>262</v>
      </c>
      <c r="K4" s="1" t="s">
        <v>263</v>
      </c>
      <c r="L4" s="1" t="s">
        <v>223</v>
      </c>
      <c r="M4" s="1" t="s">
        <v>264</v>
      </c>
      <c r="N4" s="1" t="s">
        <v>265</v>
      </c>
      <c r="O4" s="1" t="s">
        <v>266</v>
      </c>
      <c r="P4" s="1" t="s">
        <v>267</v>
      </c>
      <c r="Q4" s="1" t="s">
        <v>268</v>
      </c>
      <c r="R4" s="1" t="s">
        <v>225</v>
      </c>
      <c r="S4" s="1" t="s">
        <v>269</v>
      </c>
      <c r="T4" s="1" t="s">
        <v>270</v>
      </c>
      <c r="U4" s="1" t="s">
        <v>271</v>
      </c>
      <c r="V4" s="1" t="s">
        <v>7</v>
      </c>
      <c r="W4" s="1" t="s">
        <v>272</v>
      </c>
      <c r="X4" s="1" t="s">
        <v>273</v>
      </c>
      <c r="Y4" s="1" t="s">
        <v>274</v>
      </c>
      <c r="Z4" s="1" t="s">
        <v>275</v>
      </c>
    </row>
    <row r="5" spans="1:26" ht="48" customHeight="1" x14ac:dyDescent="0.2">
      <c r="A5" s="2" t="s">
        <v>276</v>
      </c>
      <c r="B5" s="2" t="s">
        <v>277</v>
      </c>
      <c r="C5" s="2" t="s">
        <v>278</v>
      </c>
      <c r="D5" s="2" t="s">
        <v>279</v>
      </c>
      <c r="E5" s="2" t="s">
        <v>280</v>
      </c>
      <c r="F5" s="2" t="s">
        <v>218</v>
      </c>
      <c r="G5" s="2" t="s">
        <v>281</v>
      </c>
      <c r="H5" s="2" t="str">
        <f t="shared" ref="H5:H11" si="0">IF(OR(L5="Sensitive",N5="Yes"),"High",IF(OR(L5="Confidential",M5="Yes"),"High",IF(L5="Internal","Moderate","Low")))</f>
        <v>High</v>
      </c>
      <c r="I5" s="2" t="str">
        <f>IF(T5="","",INDEX(Profiles!$E$4:$E$23,MATCH(T5,Profiles!$A$4:$A$23,0)))</f>
        <v>High</v>
      </c>
      <c r="J5" s="2" t="str">
        <f t="shared" ref="J5:J11" si="1">IF(OR(H5="",T5=""),"",IF(ISNUMBER(SEARCH(H5,I5)),"Matches profile",IF(OR(H5="High",H5="Critical"),"Above profile (OK)","Review vs profile default")))</f>
        <v>Matches profile</v>
      </c>
      <c r="K5" s="2" t="s">
        <v>16</v>
      </c>
      <c r="L5" s="2" t="s">
        <v>16</v>
      </c>
      <c r="M5" s="2" t="s">
        <v>282</v>
      </c>
      <c r="N5" s="2" t="s">
        <v>282</v>
      </c>
      <c r="O5" s="2"/>
      <c r="P5" s="2"/>
      <c r="Q5" s="4"/>
      <c r="R5" s="2" t="s">
        <v>226</v>
      </c>
      <c r="S5" s="2" t="s">
        <v>283</v>
      </c>
      <c r="T5" s="2" t="s">
        <v>13</v>
      </c>
      <c r="U5" s="2" t="str">
        <f>IFERROR(INDEX(Profiles!$K$4:$K$23,MATCH(T5,Profiles!$A$4:$A$23,0)),"")</f>
        <v>Rule 10</v>
      </c>
      <c r="V5" s="2" t="str">
        <f>IF(T5="","",INDEX(Profiles!$F$4:$F$23,MATCH(T5,Profiles!$A$4:$A$23,0)))</f>
        <v>Human-In-The-Loop for business decisions and external communication</v>
      </c>
      <c r="W5" s="2" t="str">
        <f>IF(T5="","",INDEX(Profiles!$G$4:$G$23,MATCH(T5,Profiles!$A$4:$A$23,0)))</f>
        <v>ITGC</v>
      </c>
      <c r="X5" s="2" t="str">
        <f>IF(T5="","",INDEX(Profiles!$J$4:$J$23,MATCH(T5,Profiles!$A$4:$A$23,0)))</f>
        <v>Semiannual</v>
      </c>
      <c r="Y5" s="2" t="s">
        <v>284</v>
      </c>
      <c r="Z5" s="2" t="str">
        <f>IFERROR(INDEX('Risk Assessment'!$F$4:$F$10,MATCH(A5,'Risk Assessment'!$A$4:$A$10,0)),"")</f>
        <v>High</v>
      </c>
    </row>
    <row r="6" spans="1:26" ht="32" customHeight="1" x14ac:dyDescent="0.2">
      <c r="A6" s="2" t="s">
        <v>285</v>
      </c>
      <c r="B6" s="2" t="s">
        <v>286</v>
      </c>
      <c r="C6" s="2" t="s">
        <v>287</v>
      </c>
      <c r="D6" s="2" t="s">
        <v>288</v>
      </c>
      <c r="E6" s="2" t="s">
        <v>289</v>
      </c>
      <c r="F6" s="2" t="s">
        <v>218</v>
      </c>
      <c r="G6" s="2" t="s">
        <v>290</v>
      </c>
      <c r="H6" s="2" t="str">
        <f t="shared" si="0"/>
        <v>Moderate</v>
      </c>
      <c r="I6" s="2" t="str">
        <f>IF(T6="","",INDEX(Profiles!$E$4:$E$23,MATCH(T6,Profiles!$A$4:$A$23,0)))</f>
        <v>Moderate</v>
      </c>
      <c r="J6" s="2" t="str">
        <f t="shared" si="1"/>
        <v>Matches profile</v>
      </c>
      <c r="K6" s="2" t="s">
        <v>291</v>
      </c>
      <c r="L6" s="2" t="s">
        <v>27</v>
      </c>
      <c r="M6" s="2" t="s">
        <v>292</v>
      </c>
      <c r="N6" s="2" t="s">
        <v>292</v>
      </c>
      <c r="O6" s="2"/>
      <c r="P6" s="2"/>
      <c r="Q6" s="4"/>
      <c r="R6" s="2" t="s">
        <v>229</v>
      </c>
      <c r="S6" s="2" t="s">
        <v>283</v>
      </c>
      <c r="T6" s="2" t="s">
        <v>24</v>
      </c>
      <c r="U6" s="2" t="str">
        <f>IFERROR(INDEX(Profiles!$K$4:$K$23,MATCH(T6,Profiles!$A$4:$A$23,0)),"")</f>
        <v>Rule 9</v>
      </c>
      <c r="V6" s="2" t="str">
        <f>IF(T6="","",INDEX(Profiles!$F$4:$F$23,MATCH(T6,Profiles!$A$4:$A$23,0)))</f>
        <v>Human-In-The-Loop</v>
      </c>
      <c r="W6" s="2" t="str">
        <f>IF(T6="","",INDEX(Profiles!$G$4:$G$23,MATCH(T6,Profiles!$A$4:$A$23,0)))</f>
        <v>IT Security and Business Owner</v>
      </c>
      <c r="X6" s="2" t="str">
        <f>IF(T6="","",INDEX(Profiles!$J$4:$J$23,MATCH(T6,Profiles!$A$4:$A$23,0)))</f>
        <v>At conclusion, or annually</v>
      </c>
      <c r="Y6" s="2" t="s">
        <v>293</v>
      </c>
      <c r="Z6" s="2" t="str">
        <f>IFERROR(INDEX('Risk Assessment'!$F$4:$F$10,MATCH(A6,'Risk Assessment'!$A$4:$A$10,0)),"")</f>
        <v>High</v>
      </c>
    </row>
    <row r="7" spans="1:26" ht="32" customHeight="1" x14ac:dyDescent="0.2">
      <c r="A7" s="2" t="s">
        <v>294</v>
      </c>
      <c r="B7" s="2" t="s">
        <v>592</v>
      </c>
      <c r="C7" s="2" t="s">
        <v>295</v>
      </c>
      <c r="D7" s="2" t="s">
        <v>593</v>
      </c>
      <c r="E7" s="2" t="s">
        <v>594</v>
      </c>
      <c r="F7" s="2" t="s">
        <v>220</v>
      </c>
      <c r="G7" s="2" t="s">
        <v>595</v>
      </c>
      <c r="H7" s="2" t="str">
        <f t="shared" si="0"/>
        <v>Moderate</v>
      </c>
      <c r="I7" s="2" t="str">
        <f>IF(T7="","",INDEX(Profiles!$E$4:$E$23,MATCH(T7,Profiles!$A$4:$A$23,0)))</f>
        <v>Moderate</v>
      </c>
      <c r="J7" s="2" t="str">
        <f t="shared" si="1"/>
        <v>Matches profile</v>
      </c>
      <c r="K7" s="2" t="s">
        <v>297</v>
      </c>
      <c r="L7" s="2" t="s">
        <v>27</v>
      </c>
      <c r="M7" s="2" t="s">
        <v>292</v>
      </c>
      <c r="N7" s="2" t="s">
        <v>292</v>
      </c>
      <c r="O7" s="2" t="s">
        <v>298</v>
      </c>
      <c r="P7" s="2" t="s">
        <v>299</v>
      </c>
      <c r="Q7" s="4" t="s">
        <v>300</v>
      </c>
      <c r="R7" s="2" t="s">
        <v>226</v>
      </c>
      <c r="S7" s="2" t="s">
        <v>283</v>
      </c>
      <c r="T7" s="2" t="s">
        <v>35</v>
      </c>
      <c r="U7" s="2" t="str">
        <f>IFERROR(INDEX(Profiles!$K$4:$K$23,MATCH(T7,Profiles!$A$4:$A$23,0)),"")</f>
        <v>Rule 11</v>
      </c>
      <c r="V7" s="2" t="str">
        <f>IF(T7="","",INDEX(Profiles!$F$4:$F$23,MATCH(T7,Profiles!$A$4:$A$23,0)))</f>
        <v>Human-In-The-Loop</v>
      </c>
      <c r="W7" s="2" t="str">
        <f>IF(T7="","",INDEX(Profiles!$G$4:$G$23,MATCH(T7,Profiles!$A$4:$A$23,0)))</f>
        <v>IT Security and Business Owner</v>
      </c>
      <c r="X7" s="2" t="str">
        <f>IF(T7="","",INDEX(Profiles!$J$4:$J$23,MATCH(T7,Profiles!$A$4:$A$23,0)))</f>
        <v>Annual</v>
      </c>
      <c r="Y7" s="2" t="s">
        <v>301</v>
      </c>
      <c r="Z7" s="2" t="str">
        <f>IFERROR(INDEX('Risk Assessment'!$F$4:$F$10,MATCH(A7,'Risk Assessment'!$A$4:$A$10,0)),"")</f>
        <v>Moderate</v>
      </c>
    </row>
    <row r="8" spans="1:26" ht="64" customHeight="1" x14ac:dyDescent="0.2">
      <c r="A8" s="2" t="s">
        <v>302</v>
      </c>
      <c r="B8" s="2" t="s">
        <v>303</v>
      </c>
      <c r="C8" s="2" t="s">
        <v>303</v>
      </c>
      <c r="D8" s="2" t="s">
        <v>304</v>
      </c>
      <c r="E8" s="2" t="s">
        <v>588</v>
      </c>
      <c r="F8" s="2" t="s">
        <v>218</v>
      </c>
      <c r="G8" s="2" t="s">
        <v>305</v>
      </c>
      <c r="H8" s="2" t="str">
        <f t="shared" si="0"/>
        <v>Moderate</v>
      </c>
      <c r="I8" s="2" t="str">
        <f>IF(T8="","",INDEX(Profiles!$E$4:$E$23,MATCH(T8,Profiles!$A$4:$A$23,0)))</f>
        <v>High</v>
      </c>
      <c r="J8" s="2" t="str">
        <f t="shared" si="1"/>
        <v>Review vs profile default</v>
      </c>
      <c r="K8" s="2" t="s">
        <v>27</v>
      </c>
      <c r="L8" s="2" t="s">
        <v>27</v>
      </c>
      <c r="M8" s="2" t="s">
        <v>292</v>
      </c>
      <c r="N8" s="2" t="s">
        <v>292</v>
      </c>
      <c r="O8" s="2" t="s">
        <v>306</v>
      </c>
      <c r="P8" s="2" t="s">
        <v>307</v>
      </c>
      <c r="Q8" s="4"/>
      <c r="R8" s="2" t="s">
        <v>227</v>
      </c>
      <c r="S8" s="2" t="s">
        <v>283</v>
      </c>
      <c r="T8" s="2" t="s">
        <v>160</v>
      </c>
      <c r="U8" s="2" t="str">
        <f>IFERROR(INDEX(Profiles!$K$4:$K$23,MATCH(T8,Profiles!$A$4:$A$23,0)),"")</f>
        <v>Rule 7</v>
      </c>
      <c r="V8" s="2" t="str">
        <f>IF(T8="","",INDEX(Profiles!$F$4:$F$23,MATCH(T8,Profiles!$A$4:$A$23,0)))</f>
        <v>Human-In-The-Loop with brand and legal review before publication</v>
      </c>
      <c r="W8" s="2" t="str">
        <f>IF(T8="","",INDEX(Profiles!$G$4:$G$23,MATCH(T8,Profiles!$A$4:$A$23,0)))</f>
        <v>ITGC with Legal review (external-facing); IT Security and Business Owner (internal only)</v>
      </c>
      <c r="X8" s="2" t="str">
        <f>IF(T8="","",INDEX(Profiles!$J$4:$J$23,MATCH(T8,Profiles!$A$4:$A$23,0)))</f>
        <v>Semiannual; Quarterly if external-facing</v>
      </c>
      <c r="Y8" s="2" t="s">
        <v>308</v>
      </c>
      <c r="Z8" s="2" t="str">
        <f>IFERROR(INDEX('Risk Assessment'!$F$4:$F$10,MATCH(A8,'Risk Assessment'!$A$4:$A$10,0)),"")</f>
        <v>Moderate</v>
      </c>
    </row>
    <row r="9" spans="1:26" ht="48" customHeight="1" x14ac:dyDescent="0.2">
      <c r="A9" s="2" t="s">
        <v>309</v>
      </c>
      <c r="B9" s="2" t="s">
        <v>585</v>
      </c>
      <c r="C9" s="2" t="s">
        <v>585</v>
      </c>
      <c r="D9" s="2" t="s">
        <v>586</v>
      </c>
      <c r="E9" s="2" t="s">
        <v>310</v>
      </c>
      <c r="F9" s="2" t="s">
        <v>219</v>
      </c>
      <c r="G9" s="2" t="s">
        <v>311</v>
      </c>
      <c r="H9" s="2" t="str">
        <f t="shared" si="0"/>
        <v>High</v>
      </c>
      <c r="I9" s="2" t="str">
        <f>IF(T9="","",INDEX(Profiles!$E$4:$E$23,MATCH(T9,Profiles!$A$4:$A$23,0)))</f>
        <v>High to Critical</v>
      </c>
      <c r="J9" s="2" t="str">
        <f t="shared" si="1"/>
        <v>Matches profile</v>
      </c>
      <c r="K9" s="2" t="s">
        <v>16</v>
      </c>
      <c r="L9" s="2" t="s">
        <v>16</v>
      </c>
      <c r="M9" s="2" t="s">
        <v>292</v>
      </c>
      <c r="N9" s="2" t="s">
        <v>282</v>
      </c>
      <c r="O9" s="2" t="s">
        <v>312</v>
      </c>
      <c r="P9" s="2" t="s">
        <v>307</v>
      </c>
      <c r="Q9" s="4"/>
      <c r="R9" s="2" t="s">
        <v>227</v>
      </c>
      <c r="S9" s="2" t="s">
        <v>283</v>
      </c>
      <c r="T9" s="2" t="s">
        <v>49</v>
      </c>
      <c r="U9" s="2" t="str">
        <f>IFERROR(INDEX(Profiles!$K$4:$K$23,MATCH(T9,Profiles!$A$4:$A$23,0)),"")</f>
        <v>Rule 4</v>
      </c>
      <c r="V9" s="2" t="str">
        <f>IF(T9="","",INDEX(Profiles!$F$4:$F$23,MATCH(T9,Profiles!$A$4:$A$23,0)))</f>
        <v>Human-In-The-Loop for privileged or irreversible actions</v>
      </c>
      <c r="W9" s="2" t="str">
        <f>IF(T9="","",INDEX(Profiles!$G$4:$G$23,MATCH(T9,Profiles!$A$4:$A$23,0)))</f>
        <v>ITGC</v>
      </c>
      <c r="X9" s="2" t="str">
        <f>IF(T9="","",INDEX(Profiles!$J$4:$J$23,MATCH(T9,Profiles!$A$4:$A$23,0)))</f>
        <v>Quarterly</v>
      </c>
      <c r="Y9" s="2" t="s">
        <v>313</v>
      </c>
      <c r="Z9" s="2" t="str">
        <f>IFERROR(INDEX('Risk Assessment'!$F$4:$F$10,MATCH(A9,'Risk Assessment'!$A$4:$A$10,0)),"")</f>
        <v>Critical</v>
      </c>
    </row>
    <row r="10" spans="1:26" ht="64" customHeight="1" x14ac:dyDescent="0.2">
      <c r="A10" s="2" t="s">
        <v>314</v>
      </c>
      <c r="B10" s="2" t="s">
        <v>591</v>
      </c>
      <c r="C10" s="2" t="s">
        <v>591</v>
      </c>
      <c r="D10" s="2" t="s">
        <v>315</v>
      </c>
      <c r="E10" s="2" t="s">
        <v>316</v>
      </c>
      <c r="F10" s="2" t="s">
        <v>218</v>
      </c>
      <c r="G10" s="2" t="s">
        <v>317</v>
      </c>
      <c r="H10" s="2" t="str">
        <f t="shared" si="0"/>
        <v>High</v>
      </c>
      <c r="I10" s="2" t="str">
        <f>IF(T10="","",INDEX(Profiles!$E$4:$E$23,MATCH(T10,Profiles!$A$4:$A$23,0)))</f>
        <v>High</v>
      </c>
      <c r="J10" s="2" t="str">
        <f t="shared" si="1"/>
        <v>Matches profile</v>
      </c>
      <c r="K10" s="2" t="s">
        <v>16</v>
      </c>
      <c r="L10" s="2" t="s">
        <v>16</v>
      </c>
      <c r="M10" s="2" t="s">
        <v>292</v>
      </c>
      <c r="N10" s="2" t="s">
        <v>292</v>
      </c>
      <c r="O10" s="2" t="s">
        <v>318</v>
      </c>
      <c r="P10" s="2" t="s">
        <v>299</v>
      </c>
      <c r="Q10" s="4"/>
      <c r="R10" s="2" t="s">
        <v>230</v>
      </c>
      <c r="S10" s="2" t="s">
        <v>283</v>
      </c>
      <c r="T10" s="2" t="s">
        <v>160</v>
      </c>
      <c r="U10" s="2" t="str">
        <f>IFERROR(INDEX(Profiles!$K$4:$K$23,MATCH(T10,Profiles!$A$4:$A$23,0)),"")</f>
        <v>Rule 7</v>
      </c>
      <c r="V10" s="2" t="str">
        <f>IF(T10="","",INDEX(Profiles!$F$4:$F$23,MATCH(T10,Profiles!$A$4:$A$23,0)))</f>
        <v>Human-In-The-Loop with brand and legal review before publication</v>
      </c>
      <c r="W10" s="2" t="str">
        <f>IF(T10="","",INDEX(Profiles!$G$4:$G$23,MATCH(T10,Profiles!$A$4:$A$23,0)))</f>
        <v>ITGC with Legal review (external-facing); IT Security and Business Owner (internal only)</v>
      </c>
      <c r="X10" s="2" t="str">
        <f>IF(T10="","",INDEX(Profiles!$J$4:$J$23,MATCH(T10,Profiles!$A$4:$A$23,0)))</f>
        <v>Semiannual; Quarterly if external-facing</v>
      </c>
      <c r="Y10" s="2" t="s">
        <v>319</v>
      </c>
      <c r="Z10" s="2" t="str">
        <f>IFERROR(INDEX('Risk Assessment'!$F$4:$F$10,MATCH(A10,'Risk Assessment'!$A$4:$A$10,0)),"")</f>
        <v>Critical</v>
      </c>
    </row>
    <row r="11" spans="1:26" ht="64" customHeight="1" x14ac:dyDescent="0.2">
      <c r="A11" s="2" t="s">
        <v>320</v>
      </c>
      <c r="B11" s="2" t="s">
        <v>581</v>
      </c>
      <c r="C11" s="2" t="s">
        <v>590</v>
      </c>
      <c r="D11" s="2" t="s">
        <v>589</v>
      </c>
      <c r="E11" s="2" t="s">
        <v>582</v>
      </c>
      <c r="F11" s="2" t="s">
        <v>221</v>
      </c>
      <c r="G11" s="2" t="s">
        <v>321</v>
      </c>
      <c r="H11" s="2" t="str">
        <f t="shared" si="0"/>
        <v>High</v>
      </c>
      <c r="I11" s="2" t="str">
        <f>IF(T11="","",INDEX(Profiles!$E$4:$E$23,MATCH(T11,Profiles!$A$4:$A$23,0)))</f>
        <v>Moderate</v>
      </c>
      <c r="J11" s="2" t="str">
        <f t="shared" si="1"/>
        <v>Above profile (OK)</v>
      </c>
      <c r="K11" s="2" t="s">
        <v>16</v>
      </c>
      <c r="L11" s="2" t="s">
        <v>27</v>
      </c>
      <c r="M11" s="2" t="s">
        <v>282</v>
      </c>
      <c r="N11" s="2" t="s">
        <v>292</v>
      </c>
      <c r="O11" s="2" t="s">
        <v>318</v>
      </c>
      <c r="P11" s="2" t="s">
        <v>322</v>
      </c>
      <c r="Q11" s="4" t="s">
        <v>323</v>
      </c>
      <c r="R11" s="2" t="s">
        <v>226</v>
      </c>
      <c r="S11" s="2" t="s">
        <v>283</v>
      </c>
      <c r="T11" s="2" t="s">
        <v>24</v>
      </c>
      <c r="U11" s="2" t="str">
        <f>IFERROR(INDEX(Profiles!$K$4:$K$23,MATCH(T11,Profiles!$A$4:$A$23,0)),"")</f>
        <v>Rule 9</v>
      </c>
      <c r="V11" s="2" t="str">
        <f>IF(T11="","",INDEX(Profiles!$F$4:$F$23,MATCH(T11,Profiles!$A$4:$A$23,0)))</f>
        <v>Human-In-The-Loop</v>
      </c>
      <c r="W11" s="2" t="str">
        <f>IF(T11="","",INDEX(Profiles!$G$4:$G$23,MATCH(T11,Profiles!$A$4:$A$23,0)))</f>
        <v>IT Security and Business Owner</v>
      </c>
      <c r="X11" s="2" t="str">
        <f>IF(T11="","",INDEX(Profiles!$J$4:$J$23,MATCH(T11,Profiles!$A$4:$A$23,0)))</f>
        <v>At conclusion, or annually</v>
      </c>
      <c r="Y11" s="2" t="s">
        <v>324</v>
      </c>
      <c r="Z11" s="2" t="str">
        <f>IFERROR(INDEX('Risk Assessment'!$F$4:$F$10,MATCH(A11,'Risk Assessment'!$A$4:$A$10,0)),"")</f>
        <v>Critical</v>
      </c>
    </row>
  </sheetData>
  <mergeCells count="3">
    <mergeCell ref="A1:Z1"/>
    <mergeCell ref="A3:Z3"/>
    <mergeCell ref="A2:Z2"/>
  </mergeCells>
  <conditionalFormatting sqref="H5:H11">
    <cfRule type="cellIs" dxfId="13" priority="1" operator="equal">
      <formula>"High"</formula>
    </cfRule>
    <cfRule type="cellIs" dxfId="12" priority="2" operator="equal">
      <formula>"Critical"</formula>
    </cfRule>
  </conditionalFormatting>
  <conditionalFormatting sqref="J5:J11">
    <cfRule type="expression" dxfId="11" priority="3">
      <formula>ISNUMBER(SEARCH("Review",J5))</formula>
    </cfRule>
    <cfRule type="expression" dxfId="10" priority="4">
      <formula>OR(J5="Matches profile",J5="Above profile (OK)")</formula>
    </cfRule>
  </conditionalFormatting>
  <conditionalFormatting sqref="T5:T11">
    <cfRule type="expression" dxfId="9" priority="5">
      <formula>AND($A5&lt;&gt;"",$T5="")</formula>
    </cfRule>
  </conditionalFormatting>
  <dataValidations count="4">
    <dataValidation type="list" sqref="L5:L11" xr:uid="{00000000-0002-0000-0100-000000000000}">
      <formula1>"Public,Internal,Confidential,Sensitive"</formula1>
    </dataValidation>
    <dataValidation type="list" allowBlank="1" sqref="M5:N11" xr:uid="{00000000-0002-0000-0100-000001000000}">
      <formula1>"Yes,No,Unknown,N/A"</formula1>
    </dataValidation>
    <dataValidation type="list" allowBlank="1" sqref="F5:F11" xr:uid="{00000000-0002-0000-0100-000002000000}">
      <formula1>"Generative AI,Agentic AI,Embedded AI,AI APIs and Integrations,Internal AI Deployments"</formula1>
    </dataValidation>
    <dataValidation type="list" allowBlank="1" sqref="R5:R11" xr:uid="{00000000-0002-0000-0100-000003000000}">
      <formula1>"Not Submitted,Pending / Needs Documentation,Under Review,Approved,Approved with Conditions,Rejected,Retired"</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pageSetUpPr fitToPage="1"/>
  </sheetPr>
  <dimension ref="A1:K23"/>
  <sheetViews>
    <sheetView workbookViewId="0">
      <pane ySplit="3" topLeftCell="A11" activePane="bottomLeft" state="frozen"/>
      <selection sqref="A1:D1"/>
      <selection pane="bottomLeft" sqref="A1:K1"/>
    </sheetView>
  </sheetViews>
  <sheetFormatPr baseColWidth="10" defaultColWidth="8.83203125" defaultRowHeight="15" x14ac:dyDescent="0.2"/>
  <cols>
    <col min="1" max="1" width="11" customWidth="1"/>
    <col min="2" max="2" width="34" customWidth="1"/>
    <col min="3" max="3" width="40" customWidth="1"/>
    <col min="4" max="4" width="22" customWidth="1"/>
    <col min="5" max="5" width="18" customWidth="1"/>
    <col min="6" max="6" width="40" customWidth="1"/>
    <col min="7" max="7" width="34" customWidth="1"/>
    <col min="8" max="8" width="58" customWidth="1"/>
    <col min="9" max="9" width="34" customWidth="1"/>
    <col min="10" max="10" width="26" customWidth="1"/>
    <col min="11" max="11" width="22" customWidth="1"/>
  </cols>
  <sheetData>
    <row r="1" spans="1:11" ht="26" customHeight="1" x14ac:dyDescent="0.2">
      <c r="A1" s="9" t="s">
        <v>0</v>
      </c>
      <c r="B1" s="10"/>
      <c r="C1" s="10"/>
      <c r="D1" s="10"/>
      <c r="E1" s="10"/>
      <c r="F1" s="10"/>
      <c r="G1" s="10"/>
      <c r="H1" s="10"/>
      <c r="I1" s="10"/>
      <c r="J1" s="10"/>
      <c r="K1" s="10"/>
    </row>
    <row r="2" spans="1:11" x14ac:dyDescent="0.2">
      <c r="A2" s="12" t="s">
        <v>1</v>
      </c>
      <c r="B2" s="10"/>
      <c r="C2" s="10"/>
      <c r="D2" s="10"/>
      <c r="E2" s="10"/>
      <c r="F2" s="10"/>
      <c r="G2" s="10"/>
      <c r="H2" s="10"/>
      <c r="I2" s="10"/>
      <c r="J2" s="10"/>
      <c r="K2" s="10"/>
    </row>
    <row r="3" spans="1:11" ht="30" customHeight="1" x14ac:dyDescent="0.2">
      <c r="A3" s="1" t="s">
        <v>2</v>
      </c>
      <c r="B3" s="1" t="s">
        <v>3</v>
      </c>
      <c r="C3" s="1" t="s">
        <v>4</v>
      </c>
      <c r="D3" s="1" t="s">
        <v>5</v>
      </c>
      <c r="E3" s="1" t="s">
        <v>6</v>
      </c>
      <c r="F3" s="1" t="s">
        <v>7</v>
      </c>
      <c r="G3" s="1" t="s">
        <v>8</v>
      </c>
      <c r="H3" s="1" t="s">
        <v>9</v>
      </c>
      <c r="I3" s="1" t="s">
        <v>10</v>
      </c>
      <c r="J3" s="1" t="s">
        <v>11</v>
      </c>
      <c r="K3" s="1" t="s">
        <v>12</v>
      </c>
    </row>
    <row r="4" spans="1:11" ht="32" customHeight="1" x14ac:dyDescent="0.2">
      <c r="A4" s="5" t="s">
        <v>13</v>
      </c>
      <c r="B4" s="2" t="s">
        <v>14</v>
      </c>
      <c r="C4" s="2" t="s">
        <v>15</v>
      </c>
      <c r="D4" s="2" t="s">
        <v>16</v>
      </c>
      <c r="E4" s="6" t="s">
        <v>17</v>
      </c>
      <c r="F4" s="2" t="s">
        <v>18</v>
      </c>
      <c r="G4" s="2" t="s">
        <v>19</v>
      </c>
      <c r="H4" s="2" t="s">
        <v>20</v>
      </c>
      <c r="I4" s="2" t="s">
        <v>21</v>
      </c>
      <c r="J4" s="2" t="s">
        <v>22</v>
      </c>
      <c r="K4" s="2" t="s">
        <v>23</v>
      </c>
    </row>
    <row r="5" spans="1:11" ht="32" customHeight="1" x14ac:dyDescent="0.2">
      <c r="A5" s="5" t="s">
        <v>24</v>
      </c>
      <c r="B5" s="2" t="s">
        <v>25</v>
      </c>
      <c r="C5" s="2" t="s">
        <v>26</v>
      </c>
      <c r="D5" s="2" t="s">
        <v>27</v>
      </c>
      <c r="E5" s="6" t="s">
        <v>28</v>
      </c>
      <c r="F5" s="2" t="s">
        <v>29</v>
      </c>
      <c r="G5" s="2" t="s">
        <v>30</v>
      </c>
      <c r="H5" s="2" t="s">
        <v>31</v>
      </c>
      <c r="I5" s="2" t="s">
        <v>32</v>
      </c>
      <c r="J5" s="2" t="s">
        <v>33</v>
      </c>
      <c r="K5" s="2" t="s">
        <v>34</v>
      </c>
    </row>
    <row r="6" spans="1:11" ht="32" customHeight="1" x14ac:dyDescent="0.2">
      <c r="A6" s="5" t="s">
        <v>35</v>
      </c>
      <c r="B6" s="2" t="s">
        <v>36</v>
      </c>
      <c r="C6" s="2" t="s">
        <v>37</v>
      </c>
      <c r="D6" s="2" t="s">
        <v>27</v>
      </c>
      <c r="E6" s="6" t="s">
        <v>28</v>
      </c>
      <c r="F6" s="2" t="s">
        <v>29</v>
      </c>
      <c r="G6" s="2" t="s">
        <v>30</v>
      </c>
      <c r="H6" s="2" t="s">
        <v>38</v>
      </c>
      <c r="I6" s="2" t="s">
        <v>39</v>
      </c>
      <c r="J6" s="2" t="s">
        <v>40</v>
      </c>
      <c r="K6" s="2" t="s">
        <v>41</v>
      </c>
    </row>
    <row r="7" spans="1:11" ht="32" customHeight="1" x14ac:dyDescent="0.2">
      <c r="A7" s="5" t="s">
        <v>42</v>
      </c>
      <c r="B7" s="2" t="s">
        <v>43</v>
      </c>
      <c r="C7" s="2" t="s">
        <v>44</v>
      </c>
      <c r="D7" s="2" t="s">
        <v>16</v>
      </c>
      <c r="E7" s="6" t="s">
        <v>17</v>
      </c>
      <c r="F7" s="2" t="s">
        <v>45</v>
      </c>
      <c r="G7" s="2" t="s">
        <v>19</v>
      </c>
      <c r="H7" s="2" t="s">
        <v>46</v>
      </c>
      <c r="I7" s="2" t="s">
        <v>47</v>
      </c>
      <c r="J7" s="2" t="s">
        <v>22</v>
      </c>
      <c r="K7" s="2" t="s">
        <v>48</v>
      </c>
    </row>
    <row r="8" spans="1:11" ht="32" customHeight="1" x14ac:dyDescent="0.2">
      <c r="A8" s="5" t="s">
        <v>49</v>
      </c>
      <c r="B8" s="2" t="s">
        <v>50</v>
      </c>
      <c r="C8" s="2" t="s">
        <v>51</v>
      </c>
      <c r="D8" s="2" t="s">
        <v>16</v>
      </c>
      <c r="E8" s="6" t="s">
        <v>52</v>
      </c>
      <c r="F8" s="2" t="s">
        <v>53</v>
      </c>
      <c r="G8" s="2" t="s">
        <v>19</v>
      </c>
      <c r="H8" s="2" t="s">
        <v>54</v>
      </c>
      <c r="I8" s="2" t="s">
        <v>55</v>
      </c>
      <c r="J8" s="2" t="s">
        <v>56</v>
      </c>
      <c r="K8" s="2" t="s">
        <v>57</v>
      </c>
    </row>
    <row r="9" spans="1:11" ht="32" customHeight="1" x14ac:dyDescent="0.2">
      <c r="A9" s="5" t="s">
        <v>58</v>
      </c>
      <c r="B9" s="2" t="s">
        <v>59</v>
      </c>
      <c r="C9" s="2" t="s">
        <v>60</v>
      </c>
      <c r="D9" s="2" t="s">
        <v>16</v>
      </c>
      <c r="E9" s="6" t="s">
        <v>17</v>
      </c>
      <c r="F9" s="2" t="s">
        <v>61</v>
      </c>
      <c r="G9" s="2" t="s">
        <v>62</v>
      </c>
      <c r="H9" s="2" t="s">
        <v>63</v>
      </c>
      <c r="I9" s="2" t="s">
        <v>64</v>
      </c>
      <c r="J9" s="2" t="s">
        <v>56</v>
      </c>
      <c r="K9" s="2" t="s">
        <v>65</v>
      </c>
    </row>
    <row r="10" spans="1:11" ht="32" customHeight="1" x14ac:dyDescent="0.2">
      <c r="A10" s="5" t="s">
        <v>66</v>
      </c>
      <c r="B10" s="2" t="s">
        <v>67</v>
      </c>
      <c r="C10" s="2" t="s">
        <v>68</v>
      </c>
      <c r="D10" s="2" t="s">
        <v>69</v>
      </c>
      <c r="E10" s="6" t="s">
        <v>70</v>
      </c>
      <c r="F10" s="2" t="s">
        <v>71</v>
      </c>
      <c r="G10" s="2" t="s">
        <v>72</v>
      </c>
      <c r="H10" s="2" t="s">
        <v>73</v>
      </c>
      <c r="I10" s="2" t="s">
        <v>74</v>
      </c>
      <c r="J10" s="2" t="s">
        <v>56</v>
      </c>
      <c r="K10" s="2" t="s">
        <v>75</v>
      </c>
    </row>
    <row r="11" spans="1:11" ht="32" customHeight="1" x14ac:dyDescent="0.2">
      <c r="A11" s="5" t="s">
        <v>76</v>
      </c>
      <c r="B11" s="2" t="s">
        <v>77</v>
      </c>
      <c r="C11" s="2" t="s">
        <v>78</v>
      </c>
      <c r="D11" s="2" t="s">
        <v>79</v>
      </c>
      <c r="E11" s="6" t="s">
        <v>70</v>
      </c>
      <c r="F11" s="2" t="s">
        <v>80</v>
      </c>
      <c r="G11" s="2" t="s">
        <v>81</v>
      </c>
      <c r="H11" s="2" t="s">
        <v>82</v>
      </c>
      <c r="I11" s="2" t="s">
        <v>83</v>
      </c>
      <c r="J11" s="2" t="s">
        <v>56</v>
      </c>
      <c r="K11" s="2" t="s">
        <v>84</v>
      </c>
    </row>
    <row r="12" spans="1:11" ht="32" customHeight="1" x14ac:dyDescent="0.2">
      <c r="A12" s="5" t="s">
        <v>85</v>
      </c>
      <c r="B12" s="2" t="s">
        <v>86</v>
      </c>
      <c r="C12" s="2" t="s">
        <v>87</v>
      </c>
      <c r="D12" s="2" t="s">
        <v>79</v>
      </c>
      <c r="E12" s="6" t="s">
        <v>52</v>
      </c>
      <c r="F12" s="2" t="s">
        <v>88</v>
      </c>
      <c r="G12" s="2" t="s">
        <v>89</v>
      </c>
      <c r="H12" s="2" t="s">
        <v>90</v>
      </c>
      <c r="I12" s="2" t="s">
        <v>91</v>
      </c>
      <c r="J12" s="2" t="s">
        <v>56</v>
      </c>
      <c r="K12" s="2" t="s">
        <v>92</v>
      </c>
    </row>
    <row r="13" spans="1:11" ht="32" customHeight="1" x14ac:dyDescent="0.2">
      <c r="A13" s="5" t="s">
        <v>93</v>
      </c>
      <c r="B13" s="2" t="s">
        <v>94</v>
      </c>
      <c r="C13" s="2" t="s">
        <v>95</v>
      </c>
      <c r="D13" s="2" t="s">
        <v>16</v>
      </c>
      <c r="E13" s="6" t="s">
        <v>17</v>
      </c>
      <c r="F13" s="2" t="s">
        <v>96</v>
      </c>
      <c r="G13" s="2" t="s">
        <v>62</v>
      </c>
      <c r="H13" s="2" t="s">
        <v>97</v>
      </c>
      <c r="I13" s="2" t="s">
        <v>98</v>
      </c>
      <c r="J13" s="2" t="s">
        <v>22</v>
      </c>
      <c r="K13" s="2" t="s">
        <v>92</v>
      </c>
    </row>
    <row r="14" spans="1:11" ht="32" customHeight="1" x14ac:dyDescent="0.2">
      <c r="A14" s="5" t="s">
        <v>99</v>
      </c>
      <c r="B14" s="2" t="s">
        <v>100</v>
      </c>
      <c r="C14" s="2" t="s">
        <v>101</v>
      </c>
      <c r="D14" s="2" t="s">
        <v>16</v>
      </c>
      <c r="E14" s="6" t="s">
        <v>52</v>
      </c>
      <c r="F14" s="2" t="s">
        <v>102</v>
      </c>
      <c r="G14" s="2" t="s">
        <v>103</v>
      </c>
      <c r="H14" s="2" t="s">
        <v>104</v>
      </c>
      <c r="I14" s="2" t="s">
        <v>105</v>
      </c>
      <c r="J14" s="2" t="s">
        <v>56</v>
      </c>
      <c r="K14" s="2" t="s">
        <v>92</v>
      </c>
    </row>
    <row r="15" spans="1:11" ht="32" customHeight="1" x14ac:dyDescent="0.2">
      <c r="A15" s="5" t="s">
        <v>106</v>
      </c>
      <c r="B15" s="2" t="s">
        <v>107</v>
      </c>
      <c r="C15" s="2" t="s">
        <v>108</v>
      </c>
      <c r="D15" s="2" t="s">
        <v>16</v>
      </c>
      <c r="E15" s="6" t="s">
        <v>17</v>
      </c>
      <c r="F15" s="2" t="s">
        <v>109</v>
      </c>
      <c r="G15" s="2" t="s">
        <v>110</v>
      </c>
      <c r="H15" s="2" t="s">
        <v>111</v>
      </c>
      <c r="I15" s="2" t="s">
        <v>112</v>
      </c>
      <c r="J15" s="2" t="s">
        <v>56</v>
      </c>
      <c r="K15" s="2" t="s">
        <v>92</v>
      </c>
    </row>
    <row r="16" spans="1:11" ht="32" customHeight="1" x14ac:dyDescent="0.2">
      <c r="A16" s="5" t="s">
        <v>113</v>
      </c>
      <c r="B16" s="2" t="s">
        <v>114</v>
      </c>
      <c r="C16" s="2" t="s">
        <v>115</v>
      </c>
      <c r="D16" s="2" t="s">
        <v>116</v>
      </c>
      <c r="E16" s="6" t="s">
        <v>117</v>
      </c>
      <c r="F16" s="2" t="s">
        <v>118</v>
      </c>
      <c r="G16" s="2" t="s">
        <v>119</v>
      </c>
      <c r="H16" s="2" t="s">
        <v>120</v>
      </c>
      <c r="I16" s="2" t="s">
        <v>121</v>
      </c>
      <c r="J16" s="2" t="s">
        <v>22</v>
      </c>
      <c r="K16" s="2" t="s">
        <v>48</v>
      </c>
    </row>
    <row r="17" spans="1:11" ht="32" customHeight="1" x14ac:dyDescent="0.2">
      <c r="A17" s="5" t="s">
        <v>122</v>
      </c>
      <c r="B17" s="2" t="s">
        <v>123</v>
      </c>
      <c r="C17" s="2" t="s">
        <v>124</v>
      </c>
      <c r="D17" s="2" t="s">
        <v>116</v>
      </c>
      <c r="E17" s="6" t="s">
        <v>117</v>
      </c>
      <c r="F17" s="2" t="s">
        <v>125</v>
      </c>
      <c r="G17" s="2" t="s">
        <v>126</v>
      </c>
      <c r="H17" s="2" t="s">
        <v>127</v>
      </c>
      <c r="I17" s="2" t="s">
        <v>128</v>
      </c>
      <c r="J17" s="2" t="s">
        <v>22</v>
      </c>
      <c r="K17" s="2" t="s">
        <v>92</v>
      </c>
    </row>
    <row r="18" spans="1:11" ht="32" customHeight="1" x14ac:dyDescent="0.2">
      <c r="A18" s="5" t="s">
        <v>129</v>
      </c>
      <c r="B18" s="2" t="s">
        <v>130</v>
      </c>
      <c r="C18" s="2" t="s">
        <v>131</v>
      </c>
      <c r="D18" s="2" t="s">
        <v>16</v>
      </c>
      <c r="E18" s="6" t="s">
        <v>17</v>
      </c>
      <c r="F18" s="2" t="s">
        <v>132</v>
      </c>
      <c r="G18" s="2" t="s">
        <v>133</v>
      </c>
      <c r="H18" s="2" t="s">
        <v>134</v>
      </c>
      <c r="I18" s="2" t="s">
        <v>135</v>
      </c>
      <c r="J18" s="2" t="s">
        <v>22</v>
      </c>
      <c r="K18" s="2" t="s">
        <v>92</v>
      </c>
    </row>
    <row r="19" spans="1:11" ht="48" customHeight="1" x14ac:dyDescent="0.2">
      <c r="A19" s="5" t="s">
        <v>136</v>
      </c>
      <c r="B19" s="2" t="s">
        <v>137</v>
      </c>
      <c r="C19" s="2" t="s">
        <v>138</v>
      </c>
      <c r="D19" s="2" t="s">
        <v>79</v>
      </c>
      <c r="E19" s="6" t="s">
        <v>17</v>
      </c>
      <c r="F19" s="2" t="s">
        <v>139</v>
      </c>
      <c r="G19" s="2" t="s">
        <v>140</v>
      </c>
      <c r="H19" s="2" t="s">
        <v>141</v>
      </c>
      <c r="I19" s="2" t="s">
        <v>142</v>
      </c>
      <c r="J19" s="2" t="s">
        <v>56</v>
      </c>
      <c r="K19" s="2" t="s">
        <v>48</v>
      </c>
    </row>
    <row r="20" spans="1:11" ht="32" customHeight="1" x14ac:dyDescent="0.2">
      <c r="A20" s="5" t="s">
        <v>143</v>
      </c>
      <c r="B20" s="2" t="s">
        <v>144</v>
      </c>
      <c r="C20" s="2" t="s">
        <v>145</v>
      </c>
      <c r="D20" s="2" t="s">
        <v>27</v>
      </c>
      <c r="E20" s="6" t="s">
        <v>28</v>
      </c>
      <c r="F20" s="2" t="s">
        <v>146</v>
      </c>
      <c r="G20" s="2" t="s">
        <v>30</v>
      </c>
      <c r="H20" s="2" t="s">
        <v>147</v>
      </c>
      <c r="I20" s="2" t="s">
        <v>148</v>
      </c>
      <c r="J20" s="2" t="s">
        <v>40</v>
      </c>
      <c r="K20" s="2" t="s">
        <v>48</v>
      </c>
    </row>
    <row r="21" spans="1:11" ht="32" customHeight="1" x14ac:dyDescent="0.2">
      <c r="A21" s="5" t="s">
        <v>149</v>
      </c>
      <c r="B21" s="2" t="s">
        <v>150</v>
      </c>
      <c r="C21" s="2" t="s">
        <v>151</v>
      </c>
      <c r="D21" s="2" t="s">
        <v>152</v>
      </c>
      <c r="E21" s="6" t="s">
        <v>153</v>
      </c>
      <c r="F21" s="2" t="s">
        <v>154</v>
      </c>
      <c r="G21" s="2" t="s">
        <v>155</v>
      </c>
      <c r="H21" s="2" t="s">
        <v>156</v>
      </c>
      <c r="I21" s="2" t="s">
        <v>157</v>
      </c>
      <c r="J21" s="2" t="s">
        <v>158</v>
      </c>
      <c r="K21" s="2" t="s">
        <v>159</v>
      </c>
    </row>
    <row r="22" spans="1:11" ht="80" customHeight="1" x14ac:dyDescent="0.2">
      <c r="A22" s="5" t="s">
        <v>160</v>
      </c>
      <c r="B22" s="2" t="s">
        <v>161</v>
      </c>
      <c r="C22" s="2" t="s">
        <v>162</v>
      </c>
      <c r="D22" s="2" t="s">
        <v>16</v>
      </c>
      <c r="E22" s="6" t="s">
        <v>17</v>
      </c>
      <c r="F22" s="2" t="s">
        <v>125</v>
      </c>
      <c r="G22" s="2" t="s">
        <v>163</v>
      </c>
      <c r="H22" s="2" t="s">
        <v>164</v>
      </c>
      <c r="I22" s="2" t="s">
        <v>165</v>
      </c>
      <c r="J22" s="2" t="s">
        <v>166</v>
      </c>
      <c r="K22" s="2" t="s">
        <v>48</v>
      </c>
    </row>
    <row r="23" spans="1:11" ht="144" customHeight="1" x14ac:dyDescent="0.2">
      <c r="A23" s="5" t="s">
        <v>167</v>
      </c>
      <c r="B23" s="2" t="s">
        <v>168</v>
      </c>
      <c r="C23" s="2" t="s">
        <v>169</v>
      </c>
      <c r="D23" s="2" t="s">
        <v>69</v>
      </c>
      <c r="E23" s="6" t="s">
        <v>70</v>
      </c>
      <c r="F23" s="2" t="s">
        <v>170</v>
      </c>
      <c r="G23" s="2" t="s">
        <v>171</v>
      </c>
      <c r="H23" s="2" t="s">
        <v>172</v>
      </c>
      <c r="I23" s="2" t="s">
        <v>173</v>
      </c>
      <c r="J23" s="2" t="s">
        <v>56</v>
      </c>
      <c r="K23" s="2" t="s">
        <v>174</v>
      </c>
    </row>
  </sheetData>
  <sheetProtection sheet="1" objects="1" scenarios="1"/>
  <mergeCells count="2">
    <mergeCell ref="A2:K2"/>
    <mergeCell ref="A1:K1"/>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A1:D15"/>
  <sheetViews>
    <sheetView workbookViewId="0">
      <pane ySplit="3" topLeftCell="A4" activePane="bottomLeft" state="frozen"/>
      <selection sqref="A1:K1"/>
      <selection pane="bottomLeft" sqref="A1:K1"/>
    </sheetView>
  </sheetViews>
  <sheetFormatPr baseColWidth="10" defaultColWidth="8.83203125" defaultRowHeight="15" x14ac:dyDescent="0.2"/>
  <cols>
    <col min="1" max="1" width="10" customWidth="1"/>
    <col min="2" max="2" width="62" customWidth="1"/>
    <col min="3" max="3" width="34" customWidth="1"/>
    <col min="4" max="4" width="42" customWidth="1"/>
  </cols>
  <sheetData>
    <row r="1" spans="1:4" ht="26" customHeight="1" x14ac:dyDescent="0.2">
      <c r="A1" s="9" t="s">
        <v>325</v>
      </c>
      <c r="B1" s="10"/>
      <c r="C1" s="10"/>
      <c r="D1" s="10"/>
    </row>
    <row r="2" spans="1:4" x14ac:dyDescent="0.2">
      <c r="A2" s="12" t="s">
        <v>326</v>
      </c>
      <c r="B2" s="10"/>
      <c r="C2" s="10"/>
      <c r="D2" s="10"/>
    </row>
    <row r="3" spans="1:4" ht="30" customHeight="1" x14ac:dyDescent="0.2">
      <c r="A3" s="1" t="s">
        <v>327</v>
      </c>
      <c r="B3" s="1" t="s">
        <v>328</v>
      </c>
      <c r="C3" s="1" t="s">
        <v>329</v>
      </c>
      <c r="D3" s="1" t="s">
        <v>191</v>
      </c>
    </row>
    <row r="4" spans="1:4" ht="16" customHeight="1" x14ac:dyDescent="0.2">
      <c r="A4" s="5" t="s">
        <v>75</v>
      </c>
      <c r="B4" s="2" t="s">
        <v>330</v>
      </c>
      <c r="C4" s="2" t="s">
        <v>331</v>
      </c>
      <c r="D4" s="2" t="s">
        <v>66</v>
      </c>
    </row>
    <row r="5" spans="1:4" ht="32" customHeight="1" x14ac:dyDescent="0.2">
      <c r="A5" s="5" t="s">
        <v>174</v>
      </c>
      <c r="B5" s="2" t="s">
        <v>332</v>
      </c>
      <c r="C5" s="2" t="s">
        <v>333</v>
      </c>
      <c r="D5" s="2" t="s">
        <v>167</v>
      </c>
    </row>
    <row r="6" spans="1:4" ht="16" customHeight="1" x14ac:dyDescent="0.2">
      <c r="A6" s="5" t="s">
        <v>84</v>
      </c>
      <c r="B6" s="2" t="s">
        <v>334</v>
      </c>
      <c r="C6" s="2" t="s">
        <v>335</v>
      </c>
      <c r="D6" s="2" t="s">
        <v>76</v>
      </c>
    </row>
    <row r="7" spans="1:4" ht="16" customHeight="1" x14ac:dyDescent="0.2">
      <c r="A7" s="5" t="s">
        <v>57</v>
      </c>
      <c r="B7" s="2" t="s">
        <v>336</v>
      </c>
      <c r="C7" s="2" t="s">
        <v>337</v>
      </c>
      <c r="D7" s="2" t="s">
        <v>49</v>
      </c>
    </row>
    <row r="8" spans="1:4" ht="32" customHeight="1" x14ac:dyDescent="0.2">
      <c r="A8" s="5" t="s">
        <v>65</v>
      </c>
      <c r="B8" s="2" t="s">
        <v>338</v>
      </c>
      <c r="C8" s="2" t="s">
        <v>339</v>
      </c>
      <c r="D8" s="2" t="s">
        <v>58</v>
      </c>
    </row>
    <row r="9" spans="1:4" ht="32" customHeight="1" x14ac:dyDescent="0.2">
      <c r="A9" s="5" t="s">
        <v>92</v>
      </c>
      <c r="B9" s="2" t="s">
        <v>340</v>
      </c>
      <c r="C9" s="2" t="s">
        <v>341</v>
      </c>
      <c r="D9" s="2" t="s">
        <v>342</v>
      </c>
    </row>
    <row r="10" spans="1:4" ht="32" customHeight="1" x14ac:dyDescent="0.2">
      <c r="A10" s="5" t="s">
        <v>48</v>
      </c>
      <c r="B10" s="2" t="s">
        <v>343</v>
      </c>
      <c r="C10" s="2" t="s">
        <v>344</v>
      </c>
      <c r="D10" s="2" t="s">
        <v>345</v>
      </c>
    </row>
    <row r="11" spans="1:4" ht="16" customHeight="1" x14ac:dyDescent="0.2">
      <c r="A11" s="5" t="s">
        <v>159</v>
      </c>
      <c r="B11" s="2" t="s">
        <v>346</v>
      </c>
      <c r="C11" s="2" t="s">
        <v>347</v>
      </c>
      <c r="D11" s="2" t="s">
        <v>149</v>
      </c>
    </row>
    <row r="12" spans="1:4" ht="32" customHeight="1" x14ac:dyDescent="0.2">
      <c r="A12" s="5" t="s">
        <v>34</v>
      </c>
      <c r="B12" s="2" t="s">
        <v>348</v>
      </c>
      <c r="C12" s="2" t="s">
        <v>349</v>
      </c>
      <c r="D12" s="2" t="s">
        <v>24</v>
      </c>
    </row>
    <row r="13" spans="1:4" ht="16" customHeight="1" x14ac:dyDescent="0.2">
      <c r="A13" s="5" t="s">
        <v>23</v>
      </c>
      <c r="B13" s="2" t="s">
        <v>350</v>
      </c>
      <c r="C13" s="2" t="s">
        <v>351</v>
      </c>
      <c r="D13" s="2" t="s">
        <v>13</v>
      </c>
    </row>
    <row r="14" spans="1:4" ht="16" customHeight="1" x14ac:dyDescent="0.2">
      <c r="A14" s="5" t="s">
        <v>41</v>
      </c>
      <c r="B14" s="2" t="s">
        <v>352</v>
      </c>
      <c r="C14" s="2" t="s">
        <v>353</v>
      </c>
      <c r="D14" s="2" t="s">
        <v>35</v>
      </c>
    </row>
    <row r="15" spans="1:4" ht="32" customHeight="1" x14ac:dyDescent="0.2">
      <c r="A15" s="5" t="s">
        <v>354</v>
      </c>
      <c r="B15" s="2" t="s">
        <v>355</v>
      </c>
      <c r="C15" s="2" t="s">
        <v>356</v>
      </c>
      <c r="D15" s="2" t="s">
        <v>357</v>
      </c>
    </row>
  </sheetData>
  <sheetProtection sheet="1" objects="1" scenarios="1"/>
  <mergeCells count="2">
    <mergeCell ref="A1:D1"/>
    <mergeCell ref="A2:D2"/>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0"/>
  <sheetViews>
    <sheetView topLeftCell="A8" zoomScale="160" workbookViewId="0">
      <selection activeCell="B4" sqref="B4"/>
    </sheetView>
  </sheetViews>
  <sheetFormatPr baseColWidth="10" defaultColWidth="8.83203125" defaultRowHeight="15" x14ac:dyDescent="0.2"/>
  <cols>
    <col min="1" max="1" width="10" customWidth="1"/>
    <col min="2" max="2" width="20" customWidth="1"/>
    <col min="3" max="3" width="14" customWidth="1"/>
    <col min="4" max="4" width="22" customWidth="1"/>
    <col min="5" max="5" width="24" customWidth="1"/>
    <col min="6" max="6" width="18" customWidth="1"/>
    <col min="7" max="7" width="40" customWidth="1"/>
    <col min="8" max="8" width="30" customWidth="1"/>
    <col min="9" max="9" width="22" customWidth="1"/>
    <col min="10" max="10" width="50" customWidth="1"/>
    <col min="11" max="11" width="26" customWidth="1"/>
    <col min="12" max="12" width="24" customWidth="1"/>
    <col min="13" max="13" width="22" customWidth="1"/>
    <col min="14" max="14" width="14" customWidth="1"/>
    <col min="15" max="15" width="46" customWidth="1"/>
    <col min="16" max="16" width="14" customWidth="1"/>
    <col min="17" max="17" width="40" customWidth="1"/>
    <col min="18" max="18" width="12" customWidth="1"/>
    <col min="19" max="19" width="55" customWidth="1"/>
  </cols>
  <sheetData>
    <row r="1" spans="1:19" ht="26" customHeight="1" x14ac:dyDescent="0.2">
      <c r="A1" s="9" t="s">
        <v>358</v>
      </c>
      <c r="B1" s="10"/>
      <c r="C1" s="10"/>
      <c r="D1" s="10"/>
      <c r="E1" s="10"/>
      <c r="F1" s="10"/>
      <c r="G1" s="10"/>
      <c r="H1" s="10"/>
      <c r="I1" s="10"/>
      <c r="J1" s="10"/>
      <c r="K1" s="10"/>
      <c r="L1" s="10"/>
      <c r="M1" s="10"/>
      <c r="N1" s="10"/>
      <c r="O1" s="10"/>
      <c r="P1" s="10"/>
      <c r="Q1" s="10"/>
      <c r="R1" s="10"/>
      <c r="S1" s="10"/>
    </row>
    <row r="2" spans="1:19" x14ac:dyDescent="0.2">
      <c r="A2" s="11"/>
      <c r="B2" s="10"/>
      <c r="C2" s="10"/>
      <c r="D2" s="10"/>
      <c r="E2" s="10"/>
      <c r="F2" s="10"/>
      <c r="G2" s="10"/>
      <c r="H2" s="10"/>
      <c r="I2" s="10"/>
      <c r="J2" s="10"/>
      <c r="K2" s="10"/>
      <c r="L2" s="10"/>
      <c r="M2" s="10"/>
      <c r="N2" s="10"/>
      <c r="O2" s="10"/>
      <c r="P2" s="10"/>
      <c r="Q2" s="10"/>
      <c r="R2" s="10"/>
      <c r="S2" s="10"/>
    </row>
    <row r="3" spans="1:19" ht="30" customHeight="1" x14ac:dyDescent="0.2">
      <c r="A3" s="1" t="s">
        <v>255</v>
      </c>
      <c r="B3" s="1" t="s">
        <v>257</v>
      </c>
      <c r="C3" s="1" t="s">
        <v>359</v>
      </c>
      <c r="D3" s="1" t="s">
        <v>360</v>
      </c>
      <c r="E3" s="1" t="s">
        <v>361</v>
      </c>
      <c r="F3" s="1" t="s">
        <v>215</v>
      </c>
      <c r="G3" s="1" t="s">
        <v>362</v>
      </c>
      <c r="H3" s="1" t="s">
        <v>363</v>
      </c>
      <c r="I3" s="1" t="s">
        <v>364</v>
      </c>
      <c r="J3" s="1" t="s">
        <v>365</v>
      </c>
      <c r="K3" s="1" t="s">
        <v>366</v>
      </c>
      <c r="L3" s="1" t="s">
        <v>367</v>
      </c>
      <c r="M3" s="1" t="s">
        <v>368</v>
      </c>
      <c r="N3" s="1" t="s">
        <v>270</v>
      </c>
      <c r="O3" s="1" t="s">
        <v>369</v>
      </c>
      <c r="P3" s="1" t="s">
        <v>370</v>
      </c>
      <c r="Q3" s="1" t="s">
        <v>371</v>
      </c>
      <c r="R3" s="1" t="s">
        <v>372</v>
      </c>
      <c r="S3" s="1" t="s">
        <v>373</v>
      </c>
    </row>
    <row r="4" spans="1:19" ht="144" customHeight="1" x14ac:dyDescent="0.2">
      <c r="A4" s="2" t="str">
        <f>INDEX('AI Inventory'!$A$5:$A$11,1)</f>
        <v>AI-001</v>
      </c>
      <c r="B4" s="2" t="str">
        <f>INDEX('AI Inventory'!$C$5:$C$11,1)</f>
        <v>Copilot</v>
      </c>
      <c r="C4" s="2" t="str">
        <f>IFERROR(INDEX('AI Inventory'!$H$5:$H$11,MATCH(A4,'AI Inventory'!$A$5:$A$11,0)),"")</f>
        <v>High</v>
      </c>
      <c r="D4" s="2" t="str">
        <f>INDEX('Reference Lists'!$B$4:$B$7,MAX(MATCH(C4,'Reference Lists'!$B$4:$B$7,0),MATCH( IF(INDEX('Risk &amp; Harm Assessment'!$R$5:$R$11,MATCH($A4,'Risk &amp; Harm Assessment'!$A$5:$A$11,0))="Yes","Critical", IF(AND(INDEX('Risk &amp; Harm Assessment'!$H$5:$H$11,MATCH($A4,'Risk &amp; Harm Assessment'!$A$5:$A$11,0))="Yes",ISNUMBER(SEARCH("Agentic",'AI Inventory'!F5))),"Critical", IF(AND(OR(INDEX('Risk &amp; Harm Assessment'!$N$5:$N$11,MATCH($A4,'Risk &amp; Harm Assessment'!$A$5:$A$11,0))="Yes",'AI Inventory'!N5="Yes"),'AI Inventory'!L5="Sensitive"),"Critical", IF(AND(OR(INDEX('Risk &amp; Harm Assessment'!$N$5:$N$11,MATCH($A4,'Risk &amp; Harm Assessment'!$A$5:$A$11,0))="Yes",'AI Inventory'!N5="Yes"),'AI Inventory'!L5="Confidential"),"High", IF(AND(ISNUMBER(SEARCH("Agentic",'AI Inventory'!F5)),INDEX('Risk &amp; Harm Assessment'!$L$5:$L$11,MATCH($A4,'Risk &amp; Harm Assessment'!$A$5:$A$11,0))="Yes"),"High", IF(AND(INDEX('Risk &amp; Harm Assessment'!$K$5:$K$11,MATCH($A4,'Risk &amp; Harm Assessment'!$A$5:$A$11,0))="Yes",'AI Inventory'!N5="Yes"),"High", IF(INDEX('Risk &amp; Harm Assessment'!$I$5:$I$11,MATCH($A4,'Risk &amp; Harm Assessment'!$A$5:$A$11,0))="Yes","High", IF(AND(ISNUMBER(SEARCH("Generative",'AI Inventory'!F5)),C4="Low"),"Moderate",C4) ))))))),'Reference Lists'!$B$4:$B$7,0)))</f>
        <v>High</v>
      </c>
      <c r="E4" s="2" t="str">
        <f t="shared" ref="E4:E10" si="0">IF(D4=C4,"Confirmed at "&amp;C4,"Escalate: "&amp;C4&amp;" to "&amp;D4)</f>
        <v>Confirmed at High</v>
      </c>
      <c r="F4" s="2" t="str">
        <f>INDEX('Reference Lists'!$B$4:$B$7,MAX(MATCH(D4,'Reference Lists'!$B$4:$B$7,0),MATCH(INDEX('Vendor &amp; Security'!$E$4:$E$10,MATCH($A4,'Vendor &amp; Security'!$A$4:$A$10,0)),'Reference Lists'!$B$4:$B$7,0),MATCH(INDEX('Data &amp; Privacy'!$D$4:$D$10,MATCH($A4,'Data &amp; Privacy'!$A$4:$A$10,0)),'Reference Lists'!$B$4:$B$7,0),MATCH(INDEX('Legal &amp; Compliance'!$D$4:$D$10,MATCH($A4,'Legal &amp; Compliance'!$A$4:$A$10,0)),'Reference Lists'!$B$4:$B$7,0)))</f>
        <v>High</v>
      </c>
      <c r="G4" s="2" t="str">
        <f>TRIM(_xlfn.TEXTJOIN(", ",TRUE,IF(MATCH(D4,'Reference Lists'!$B$4:$B$7,0)=MAX(MATCH(D4,'Reference Lists'!$B$4:$B$7,0),MATCH(INDEX('Vendor &amp; Security'!$E$4:$E$10,MATCH($A4,'Vendor &amp; Security'!$A$4:$A$10,0)),'Reference Lists'!$B$4:$B$7,0),MATCH(INDEX('Data &amp; Privacy'!$D$4:$D$10,MATCH($A4,'Data &amp; Privacy'!$A$4:$A$10,0)),'Reference Lists'!$B$4:$B$7,0),MATCH(INDEX('Legal &amp; Compliance'!$D$4:$D$10,MATCH($A4,'Legal &amp; Compliance'!$A$4:$A$10,0)),'Reference Lists'!$B$4:$B$7,0)),"Validated Risk ("&amp;D4&amp;")",""),IF(MATCH(INDEX('Vendor &amp; Security'!$E$4:$E$10,MATCH($A4,'Vendor &amp; Security'!$A$4:$A$10,0)),'Reference Lists'!$B$4:$B$7,0)=MAX(MATCH(D4,'Reference Lists'!$B$4:$B$7,0),MATCH(INDEX('Vendor &amp; Security'!$E$4:$E$10,MATCH($A4,'Vendor &amp; Security'!$A$4:$A$10,0)),'Reference Lists'!$B$4:$B$7,0),MATCH(INDEX('Data &amp; Privacy'!$D$4:$D$10,MATCH($A4,'Data &amp; Privacy'!$A$4:$A$10,0)),'Reference Lists'!$B$4:$B$7,0),MATCH(INDEX('Legal &amp; Compliance'!$D$4:$D$10,MATCH($A4,'Legal &amp; Compliance'!$A$4:$A$10,0)),'Reference Lists'!$B$4:$B$7,0)),"Vendor ("&amp;INDEX('Vendor &amp; Security'!$E$4:$E$10,MATCH($A4,'Vendor &amp; Security'!$A$4:$A$10,0))&amp;")",""),IF(MATCH(INDEX('Data &amp; Privacy'!$D$4:$D$10,MATCH($A4,'Data &amp; Privacy'!$A$4:$A$10,0)),'Reference Lists'!$B$4:$B$7,0)=MAX(MATCH(D4,'Reference Lists'!$B$4:$B$7,0),MATCH(INDEX('Vendor &amp; Security'!$E$4:$E$10,MATCH($A4,'Vendor &amp; Security'!$A$4:$A$10,0)),'Reference Lists'!$B$4:$B$7,0),MATCH(INDEX('Data &amp; Privacy'!$D$4:$D$10,MATCH($A4,'Data &amp; Privacy'!$A$4:$A$10,0)),'Reference Lists'!$B$4:$B$7,0),MATCH(INDEX('Legal &amp; Compliance'!$D$4:$D$10,MATCH($A4,'Legal &amp; Compliance'!$A$4:$A$10,0)),'Reference Lists'!$B$4:$B$7,0)),"Privacy ("&amp;INDEX('Data &amp; Privacy'!$D$4:$D$10,MATCH($A4,'Data &amp; Privacy'!$A$4:$A$10,0))&amp;")",""),IF(MATCH(INDEX('Legal &amp; Compliance'!$D$4:$D$10,MATCH($A4,'Legal &amp; Compliance'!$A$4:$A$10,0)),'Reference Lists'!$B$4:$B$7,0)=MAX(MATCH(D4,'Reference Lists'!$B$4:$B$7,0),MATCH(INDEX('Vendor &amp; Security'!$E$4:$E$10,MATCH($A4,'Vendor &amp; Security'!$A$4:$A$10,0)),'Reference Lists'!$B$4:$B$7,0),MATCH(INDEX('Data &amp; Privacy'!$D$4:$D$10,MATCH($A4,'Data &amp; Privacy'!$A$4:$A$10,0)),'Reference Lists'!$B$4:$B$7,0),MATCH(INDEX('Legal &amp; Compliance'!$D$4:$D$10,MATCH($A4,'Legal &amp; Compliance'!$A$4:$A$10,0)),'Reference Lists'!$B$4:$B$7,0)),"Legal ("&amp;INDEX('Legal &amp; Compliance'!$D$4:$D$10,MATCH($A4,'Legal &amp; Compliance'!$A$4:$A$10,0))&amp;")","")))</f>
        <v>Validated Risk (High)</v>
      </c>
      <c r="H4" s="2" t="s">
        <v>232</v>
      </c>
      <c r="I4" s="2" t="s">
        <v>250</v>
      </c>
      <c r="J4" s="2" t="s">
        <v>374</v>
      </c>
      <c r="K4" s="2" t="s">
        <v>375</v>
      </c>
      <c r="L4" s="2" t="str">
        <f t="shared" ref="L4:L10" si="1">IF(OR(D4="High",D4="Critical"),"Yes","No")</f>
        <v>Yes</v>
      </c>
      <c r="M4" s="2" t="str">
        <f t="shared" ref="M4:M10" si="2">IF(OR(D4="High",D4="Critical"),"Yes","No")</f>
        <v>Yes</v>
      </c>
      <c r="N4" s="2" t="str">
        <f>IFERROR(INDEX('AI Inventory'!$T$5:$T$11,MATCH(A4,'AI Inventory'!$A$5:$A$11,0)),"")</f>
        <v>P1</v>
      </c>
      <c r="O4" s="2" t="str">
        <f>IFERROR(INDEX('Risk &amp; Harm Assessment'!$W$5:$W$11,MATCH(A4,'Risk &amp; Harm Assessment'!$A$5:$A$11,0)),"")</f>
        <v>Data leakage and disclosure, Prompt injection and adversarial input, Hallucination and incorrect output, Unauthorized data retention, Model drift and degradation, Overreliance and automation bias, Bias and harmful output, Third-party and value chain risk, Information security risk, Privacy risk, Regulatory and legal risk</v>
      </c>
      <c r="P4" s="2">
        <f>IFERROR(INDEX('Risk &amp; Harm Assessment'!$X$5:$X$11,MATCH(A4,'Risk &amp; Harm Assessment'!$A$5:$A$11,0)),"")</f>
        <v>11</v>
      </c>
      <c r="Q4" s="2" t="str">
        <f>IFERROR(INDEX('Risk &amp; Harm Assessment'!$Y$5:$Y$11,MATCH(A4,'Risk &amp; Harm Assessment'!$A$5:$A$11,0)),"")</f>
        <v>Individual harm, Organizational harm, Regulatory harm, Confidentiality harm, Information integrity harm</v>
      </c>
      <c r="R4" s="2">
        <f>IFERROR(INDEX('Risk &amp; Harm Assessment'!$Z$5:$Z$11,MATCH(A4,'Risk &amp; Harm Assessment'!$A$5:$A$11,0)),"")</f>
        <v>5</v>
      </c>
      <c r="S4" s="2" t="str">
        <f>_xlfn.TEXTJOIN(", ",TRUE,IF(INDEX('Risk &amp; Harm Assessment'!$C$5:$C$11,MATCH($A4,'Risk &amp; Harm Assessment'!$A$5:$A$11,0))="Yes",INDEX('Reference Lists'!$M$4:$M$16,1),""),IF(INDEX('Risk &amp; Harm Assessment'!$D$5:$D$11,MATCH($A4,'Risk &amp; Harm Assessment'!$A$5:$A$11,0))="Yes",INDEX('Reference Lists'!$M$4:$M$16,2),""),IF(INDEX('Risk &amp; Harm Assessment'!$E$5:$E$11,MATCH($A4,'Risk &amp; Harm Assessment'!$A$5:$A$11,0))="Yes",INDEX('Reference Lists'!$M$4:$M$16,3),""),IF(INDEX('Risk &amp; Harm Assessment'!$F$5:$F$11,MATCH($A4,'Risk &amp; Harm Assessment'!$A$5:$A$11,0))="Yes",INDEX('Reference Lists'!$M$4:$M$16,4),""),IF(INDEX('Risk &amp; Harm Assessment'!$G$5:$G$11,MATCH($A4,'Risk &amp; Harm Assessment'!$A$5:$A$11,0))="Yes",INDEX('Reference Lists'!$M$4:$M$16,5),""),IF(INDEX('Risk &amp; Harm Assessment'!$H$5:$H$11,MATCH($A4,'Risk &amp; Harm Assessment'!$A$5:$A$11,0))="Yes",INDEX('Reference Lists'!$M$4:$M$16,6),""),IF(INDEX('Risk &amp; Harm Assessment'!$I$5:$I$11,MATCH($A4,'Risk &amp; Harm Assessment'!$A$5:$A$11,0))="Yes",INDEX('Reference Lists'!$M$4:$M$16,7),""),IF(INDEX('Risk &amp; Harm Assessment'!$J$5:$J$11,MATCH($A4,'Risk &amp; Harm Assessment'!$A$5:$A$11,0))="Yes",INDEX('Reference Lists'!$M$4:$M$16,8),""),IF(INDEX('Risk &amp; Harm Assessment'!$K$5:$K$11,MATCH($A4,'Risk &amp; Harm Assessment'!$A$5:$A$11,0))="Yes",INDEX('Reference Lists'!$M$4:$M$16,9),""),IF(INDEX('Risk &amp; Harm Assessment'!$L$5:$L$11,MATCH($A4,'Risk &amp; Harm Assessment'!$A$5:$A$11,0))="Yes",INDEX('Reference Lists'!$M$4:$M$16,10),""),IF(INDEX('Risk &amp; Harm Assessment'!$M$5:$M$11,MATCH($A4,'Risk &amp; Harm Assessment'!$A$5:$A$11,0))="Yes",INDEX('Reference Lists'!$M$4:$M$16,11),""),IF(INDEX('Risk &amp; Harm Assessment'!$N$5:$N$11,MATCH($A4,'Risk &amp; Harm Assessment'!$A$5:$A$11,0))="Yes",INDEX('Reference Lists'!$M$4:$M$16,12),""),IF(INDEX('Risk &amp; Harm Assessment'!$O$5:$O$11,MATCH($A4,'Risk &amp; Harm Assessment'!$A$5:$A$11,0))="Yes",INDEX('Reference Lists'!$M$4:$M$16,13),""))</f>
        <v>Data flow, classification, retention and deletion terms, Guardrails, abuse testing, monitoring, Validation process, user guidance, review requirements, Contract terms, DPA, vendor documentation, Change notification, monitoring approach, review cadence, Human oversight model, training, disclaimers, Bias assessment, human review, prohibited uses, ITDRA, SOC 2 or ISO evidence, subprocessor review, Architecture review, MFA, RBAC, logging, patching, Privacy review, DPA, retention controls, Legal and Compliance review, regulatory mapping</v>
      </c>
    </row>
    <row r="5" spans="1:19" ht="112" customHeight="1" x14ac:dyDescent="0.2">
      <c r="A5" s="2" t="str">
        <f>INDEX('AI Inventory'!$A$5:$A$11,2)</f>
        <v>AI-002</v>
      </c>
      <c r="B5" s="2" t="str">
        <f>INDEX('AI Inventory'!$C$5:$C$11,2)</f>
        <v>Claude AI</v>
      </c>
      <c r="C5" s="2" t="str">
        <f>IFERROR(INDEX('AI Inventory'!$H$5:$H$11,MATCH(A5,'AI Inventory'!$A$5:$A$11,0)),"")</f>
        <v>Moderate</v>
      </c>
      <c r="D5" s="2" t="str">
        <f>INDEX('Reference Lists'!$B$4:$B$7,MAX(MATCH(C5,'Reference Lists'!$B$4:$B$7,0),MATCH( IF(INDEX('Risk &amp; Harm Assessment'!$R$5:$R$11,MATCH($A5,'Risk &amp; Harm Assessment'!$A$5:$A$11,0))="Yes","Critical", IF(AND(INDEX('Risk &amp; Harm Assessment'!$H$5:$H$11,MATCH($A5,'Risk &amp; Harm Assessment'!$A$5:$A$11,0))="Yes",ISNUMBER(SEARCH("Agentic",'AI Inventory'!F6))),"Critical", IF(AND(OR(INDEX('Risk &amp; Harm Assessment'!$N$5:$N$11,MATCH($A5,'Risk &amp; Harm Assessment'!$A$5:$A$11,0))="Yes",'AI Inventory'!N6="Yes"),'AI Inventory'!L6="Sensitive"),"Critical", IF(AND(OR(INDEX('Risk &amp; Harm Assessment'!$N$5:$N$11,MATCH($A5,'Risk &amp; Harm Assessment'!$A$5:$A$11,0))="Yes",'AI Inventory'!N6="Yes"),'AI Inventory'!L6="Confidential"),"High", IF(AND(ISNUMBER(SEARCH("Agentic",'AI Inventory'!F6)),INDEX('Risk &amp; Harm Assessment'!$L$5:$L$11,MATCH($A5,'Risk &amp; Harm Assessment'!$A$5:$A$11,0))="Yes"),"High", IF(AND(INDEX('Risk &amp; Harm Assessment'!$K$5:$K$11,MATCH($A5,'Risk &amp; Harm Assessment'!$A$5:$A$11,0))="Yes",'AI Inventory'!N6="Yes"),"High", IF(INDEX('Risk &amp; Harm Assessment'!$I$5:$I$11,MATCH($A5,'Risk &amp; Harm Assessment'!$A$5:$A$11,0))="Yes","High", IF(AND(ISNUMBER(SEARCH("Generative",'AI Inventory'!F6)),C5="Low"),"Moderate",C5) ))))))),'Reference Lists'!$B$4:$B$7,0)))</f>
        <v>Moderate</v>
      </c>
      <c r="E5" s="2" t="str">
        <f t="shared" si="0"/>
        <v>Confirmed at Moderate</v>
      </c>
      <c r="F5" s="2" t="str">
        <f>INDEX('Reference Lists'!$B$4:$B$7,MAX(MATCH(D5,'Reference Lists'!$B$4:$B$7,0),MATCH(INDEX('Vendor &amp; Security'!$E$4:$E$10,MATCH($A5,'Vendor &amp; Security'!$A$4:$A$10,0)),'Reference Lists'!$B$4:$B$7,0),MATCH(INDEX('Data &amp; Privacy'!$D$4:$D$10,MATCH($A5,'Data &amp; Privacy'!$A$4:$A$10,0)),'Reference Lists'!$B$4:$B$7,0),MATCH(INDEX('Legal &amp; Compliance'!$D$4:$D$10,MATCH($A5,'Legal &amp; Compliance'!$A$4:$A$10,0)),'Reference Lists'!$B$4:$B$7,0)))</f>
        <v>High</v>
      </c>
      <c r="G5" s="2" t="str">
        <f>TRIM(_xlfn.TEXTJOIN(", ",TRUE,IF(MATCH(D5,'Reference Lists'!$B$4:$B$7,0)=MAX(MATCH(D5,'Reference Lists'!$B$4:$B$7,0),MATCH(INDEX('Vendor &amp; Security'!$E$4:$E$10,MATCH($A5,'Vendor &amp; Security'!$A$4:$A$10,0)),'Reference Lists'!$B$4:$B$7,0),MATCH(INDEX('Data &amp; Privacy'!$D$4:$D$10,MATCH($A5,'Data &amp; Privacy'!$A$4:$A$10,0)),'Reference Lists'!$B$4:$B$7,0),MATCH(INDEX('Legal &amp; Compliance'!$D$4:$D$10,MATCH($A5,'Legal &amp; Compliance'!$A$4:$A$10,0)),'Reference Lists'!$B$4:$B$7,0)),"Validated Risk ("&amp;D5&amp;")",""),IF(MATCH(INDEX('Vendor &amp; Security'!$E$4:$E$10,MATCH($A5,'Vendor &amp; Security'!$A$4:$A$10,0)),'Reference Lists'!$B$4:$B$7,0)=MAX(MATCH(D5,'Reference Lists'!$B$4:$B$7,0),MATCH(INDEX('Vendor &amp; Security'!$E$4:$E$10,MATCH($A5,'Vendor &amp; Security'!$A$4:$A$10,0)),'Reference Lists'!$B$4:$B$7,0),MATCH(INDEX('Data &amp; Privacy'!$D$4:$D$10,MATCH($A5,'Data &amp; Privacy'!$A$4:$A$10,0)),'Reference Lists'!$B$4:$B$7,0),MATCH(INDEX('Legal &amp; Compliance'!$D$4:$D$10,MATCH($A5,'Legal &amp; Compliance'!$A$4:$A$10,0)),'Reference Lists'!$B$4:$B$7,0)),"Vendor ("&amp;INDEX('Vendor &amp; Security'!$E$4:$E$10,MATCH($A5,'Vendor &amp; Security'!$A$4:$A$10,0))&amp;")",""),IF(MATCH(INDEX('Data &amp; Privacy'!$D$4:$D$10,MATCH($A5,'Data &amp; Privacy'!$A$4:$A$10,0)),'Reference Lists'!$B$4:$B$7,0)=MAX(MATCH(D5,'Reference Lists'!$B$4:$B$7,0),MATCH(INDEX('Vendor &amp; Security'!$E$4:$E$10,MATCH($A5,'Vendor &amp; Security'!$A$4:$A$10,0)),'Reference Lists'!$B$4:$B$7,0),MATCH(INDEX('Data &amp; Privacy'!$D$4:$D$10,MATCH($A5,'Data &amp; Privacy'!$A$4:$A$10,0)),'Reference Lists'!$B$4:$B$7,0),MATCH(INDEX('Legal &amp; Compliance'!$D$4:$D$10,MATCH($A5,'Legal &amp; Compliance'!$A$4:$A$10,0)),'Reference Lists'!$B$4:$B$7,0)),"Privacy ("&amp;INDEX('Data &amp; Privacy'!$D$4:$D$10,MATCH($A5,'Data &amp; Privacy'!$A$4:$A$10,0))&amp;")",""),IF(MATCH(INDEX('Legal &amp; Compliance'!$D$4:$D$10,MATCH($A5,'Legal &amp; Compliance'!$A$4:$A$10,0)),'Reference Lists'!$B$4:$B$7,0)=MAX(MATCH(D5,'Reference Lists'!$B$4:$B$7,0),MATCH(INDEX('Vendor &amp; Security'!$E$4:$E$10,MATCH($A5,'Vendor &amp; Security'!$A$4:$A$10,0)),'Reference Lists'!$B$4:$B$7,0),MATCH(INDEX('Data &amp; Privacy'!$D$4:$D$10,MATCH($A5,'Data &amp; Privacy'!$A$4:$A$10,0)),'Reference Lists'!$B$4:$B$7,0),MATCH(INDEX('Legal &amp; Compliance'!$D$4:$D$10,MATCH($A5,'Legal &amp; Compliance'!$A$4:$A$10,0)),'Reference Lists'!$B$4:$B$7,0)),"Legal ("&amp;INDEX('Legal &amp; Compliance'!$D$4:$D$10,MATCH($A5,'Legal &amp; Compliance'!$A$4:$A$10,0))&amp;")","")))</f>
        <v>Legal (High)</v>
      </c>
      <c r="H5" s="2" t="s">
        <v>232</v>
      </c>
      <c r="I5" s="2" t="s">
        <v>247</v>
      </c>
      <c r="J5" s="2" t="s">
        <v>376</v>
      </c>
      <c r="K5" s="2" t="s">
        <v>375</v>
      </c>
      <c r="L5" s="2" t="str">
        <f t="shared" si="1"/>
        <v>No</v>
      </c>
      <c r="M5" s="2" t="str">
        <f t="shared" si="2"/>
        <v>No</v>
      </c>
      <c r="N5" s="2" t="str">
        <f>IFERROR(INDEX('AI Inventory'!$T$5:$T$11,MATCH(A5,'AI Inventory'!$A$5:$A$11,0)),"")</f>
        <v>P2</v>
      </c>
      <c r="O5" s="2" t="str">
        <f>IFERROR(INDEX('Risk &amp; Harm Assessment'!$W$5:$W$11,MATCH(A5,'Risk &amp; Harm Assessment'!$A$5:$A$11,0)),"")</f>
        <v>Data leakage and disclosure, Prompt injection and adversarial input, Hallucination and incorrect output, Unauthorized data retention, Model drift and degradation, Overreliance and automation bias, Bias and harmful output, Third-party and value chain risk, Information security risk</v>
      </c>
      <c r="P5" s="2">
        <f>IFERROR(INDEX('Risk &amp; Harm Assessment'!$X$5:$X$11,MATCH(A5,'Risk &amp; Harm Assessment'!$A$5:$A$11,0)),"")</f>
        <v>9</v>
      </c>
      <c r="Q5" s="2" t="str">
        <f>IFERROR(INDEX('Risk &amp; Harm Assessment'!$Y$5:$Y$11,MATCH(A5,'Risk &amp; Harm Assessment'!$A$5:$A$11,0)),"")</f>
        <v>Organizational harm, Confidentiality harm, Information integrity harm</v>
      </c>
      <c r="R5" s="2">
        <f>IFERROR(INDEX('Risk &amp; Harm Assessment'!$Z$5:$Z$11,MATCH(A5,'Risk &amp; Harm Assessment'!$A$5:$A$11,0)),"")</f>
        <v>3</v>
      </c>
      <c r="S5" s="2" t="str">
        <f>_xlfn.TEXTJOIN(", ",TRUE,IF(INDEX('Risk &amp; Harm Assessment'!$C$5:$C$11,MATCH($A5,'Risk &amp; Harm Assessment'!$A$5:$A$11,0))="Yes",INDEX('Reference Lists'!$M$4:$M$16,1),""),IF(INDEX('Risk &amp; Harm Assessment'!$D$5:$D$11,MATCH($A5,'Risk &amp; Harm Assessment'!$A$5:$A$11,0))="Yes",INDEX('Reference Lists'!$M$4:$M$16,2),""),IF(INDEX('Risk &amp; Harm Assessment'!$E$5:$E$11,MATCH($A5,'Risk &amp; Harm Assessment'!$A$5:$A$11,0))="Yes",INDEX('Reference Lists'!$M$4:$M$16,3),""),IF(INDEX('Risk &amp; Harm Assessment'!$F$5:$F$11,MATCH($A5,'Risk &amp; Harm Assessment'!$A$5:$A$11,0))="Yes",INDEX('Reference Lists'!$M$4:$M$16,4),""),IF(INDEX('Risk &amp; Harm Assessment'!$G$5:$G$11,MATCH($A5,'Risk &amp; Harm Assessment'!$A$5:$A$11,0))="Yes",INDEX('Reference Lists'!$M$4:$M$16,5),""),IF(INDEX('Risk &amp; Harm Assessment'!$H$5:$H$11,MATCH($A5,'Risk &amp; Harm Assessment'!$A$5:$A$11,0))="Yes",INDEX('Reference Lists'!$M$4:$M$16,6),""),IF(INDEX('Risk &amp; Harm Assessment'!$I$5:$I$11,MATCH($A5,'Risk &amp; Harm Assessment'!$A$5:$A$11,0))="Yes",INDEX('Reference Lists'!$M$4:$M$16,7),""),IF(INDEX('Risk &amp; Harm Assessment'!$J$5:$J$11,MATCH($A5,'Risk &amp; Harm Assessment'!$A$5:$A$11,0))="Yes",INDEX('Reference Lists'!$M$4:$M$16,8),""),IF(INDEX('Risk &amp; Harm Assessment'!$K$5:$K$11,MATCH($A5,'Risk &amp; Harm Assessment'!$A$5:$A$11,0))="Yes",INDEX('Reference Lists'!$M$4:$M$16,9),""),IF(INDEX('Risk &amp; Harm Assessment'!$L$5:$L$11,MATCH($A5,'Risk &amp; Harm Assessment'!$A$5:$A$11,0))="Yes",INDEX('Reference Lists'!$M$4:$M$16,10),""),IF(INDEX('Risk &amp; Harm Assessment'!$M$5:$M$11,MATCH($A5,'Risk &amp; Harm Assessment'!$A$5:$A$11,0))="Yes",INDEX('Reference Lists'!$M$4:$M$16,11),""),IF(INDEX('Risk &amp; Harm Assessment'!$N$5:$N$11,MATCH($A5,'Risk &amp; Harm Assessment'!$A$5:$A$11,0))="Yes",INDEX('Reference Lists'!$M$4:$M$16,12),""),IF(INDEX('Risk &amp; Harm Assessment'!$O$5:$O$11,MATCH($A5,'Risk &amp; Harm Assessment'!$A$5:$A$11,0))="Yes",INDEX('Reference Lists'!$M$4:$M$16,13),""))</f>
        <v>Data flow, classification, retention and deletion terms, Guardrails, abuse testing, monitoring, Validation process, user guidance, review requirements, Contract terms, DPA, vendor documentation, Change notification, monitoring approach, review cadence, Human oversight model, training, disclaimers, Bias assessment, human review, prohibited uses, ITDRA, SOC 2 or ISO evidence, subprocessor review, Architecture review, MFA, RBAC, logging, patching</v>
      </c>
    </row>
    <row r="6" spans="1:19" ht="112" customHeight="1" x14ac:dyDescent="0.2">
      <c r="A6" s="2" t="str">
        <f>INDEX('AI Inventory'!$A$5:$A$11,3)</f>
        <v>AI-003</v>
      </c>
      <c r="B6" s="2" t="str">
        <f>INDEX('AI Inventory'!$C$5:$C$11,3)</f>
        <v>JMP Learnbot</v>
      </c>
      <c r="C6" s="2" t="str">
        <f>IFERROR(INDEX('AI Inventory'!$H$5:$H$11,MATCH(A6,'AI Inventory'!$A$5:$A$11,0)),"")</f>
        <v>Moderate</v>
      </c>
      <c r="D6" s="2" t="str">
        <f>INDEX('Reference Lists'!$B$4:$B$7,MAX(MATCH(C6,'Reference Lists'!$B$4:$B$7,0),MATCH( IF(INDEX('Risk &amp; Harm Assessment'!$R$5:$R$11,MATCH($A6,'Risk &amp; Harm Assessment'!$A$5:$A$11,0))="Yes","Critical", IF(AND(INDEX('Risk &amp; Harm Assessment'!$H$5:$H$11,MATCH($A6,'Risk &amp; Harm Assessment'!$A$5:$A$11,0))="Yes",ISNUMBER(SEARCH("Agentic",'AI Inventory'!F7))),"Critical", IF(AND(OR(INDEX('Risk &amp; Harm Assessment'!$N$5:$N$11,MATCH($A6,'Risk &amp; Harm Assessment'!$A$5:$A$11,0))="Yes",'AI Inventory'!N7="Yes"),'AI Inventory'!L7="Sensitive"),"Critical", IF(AND(OR(INDEX('Risk &amp; Harm Assessment'!$N$5:$N$11,MATCH($A6,'Risk &amp; Harm Assessment'!$A$5:$A$11,0))="Yes",'AI Inventory'!N7="Yes"),'AI Inventory'!L7="Confidential"),"High", IF(AND(ISNUMBER(SEARCH("Agentic",'AI Inventory'!F7)),INDEX('Risk &amp; Harm Assessment'!$L$5:$L$11,MATCH($A6,'Risk &amp; Harm Assessment'!$A$5:$A$11,0))="Yes"),"High", IF(AND(INDEX('Risk &amp; Harm Assessment'!$K$5:$K$11,MATCH($A6,'Risk &amp; Harm Assessment'!$A$5:$A$11,0))="Yes",'AI Inventory'!N7="Yes"),"High", IF(INDEX('Risk &amp; Harm Assessment'!$I$5:$I$11,MATCH($A6,'Risk &amp; Harm Assessment'!$A$5:$A$11,0))="Yes","High", IF(AND(ISNUMBER(SEARCH("Generative",'AI Inventory'!F7)),C6="Low"),"Moderate",C6) ))))))),'Reference Lists'!$B$4:$B$7,0)))</f>
        <v>Moderate</v>
      </c>
      <c r="E6" s="2" t="str">
        <f t="shared" si="0"/>
        <v>Confirmed at Moderate</v>
      </c>
      <c r="F6" s="2" t="str">
        <f>INDEX('Reference Lists'!$B$4:$B$7,MAX(MATCH(D6,'Reference Lists'!$B$4:$B$7,0),MATCH(INDEX('Vendor &amp; Security'!$E$4:$E$10,MATCH($A6,'Vendor &amp; Security'!$A$4:$A$10,0)),'Reference Lists'!$B$4:$B$7,0),MATCH(INDEX('Data &amp; Privacy'!$D$4:$D$10,MATCH($A6,'Data &amp; Privacy'!$A$4:$A$10,0)),'Reference Lists'!$B$4:$B$7,0),MATCH(INDEX('Legal &amp; Compliance'!$D$4:$D$10,MATCH($A6,'Legal &amp; Compliance'!$A$4:$A$10,0)),'Reference Lists'!$B$4:$B$7,0)))</f>
        <v>Moderate</v>
      </c>
      <c r="G6" s="2" t="str">
        <f>TRIM(_xlfn.TEXTJOIN(", ",TRUE,IF(MATCH(D6,'Reference Lists'!$B$4:$B$7,0)=MAX(MATCH(D6,'Reference Lists'!$B$4:$B$7,0),MATCH(INDEX('Vendor &amp; Security'!$E$4:$E$10,MATCH($A6,'Vendor &amp; Security'!$A$4:$A$10,0)),'Reference Lists'!$B$4:$B$7,0),MATCH(INDEX('Data &amp; Privacy'!$D$4:$D$10,MATCH($A6,'Data &amp; Privacy'!$A$4:$A$10,0)),'Reference Lists'!$B$4:$B$7,0),MATCH(INDEX('Legal &amp; Compliance'!$D$4:$D$10,MATCH($A6,'Legal &amp; Compliance'!$A$4:$A$10,0)),'Reference Lists'!$B$4:$B$7,0)),"Validated Risk ("&amp;D6&amp;")",""),IF(MATCH(INDEX('Vendor &amp; Security'!$E$4:$E$10,MATCH($A6,'Vendor &amp; Security'!$A$4:$A$10,0)),'Reference Lists'!$B$4:$B$7,0)=MAX(MATCH(D6,'Reference Lists'!$B$4:$B$7,0),MATCH(INDEX('Vendor &amp; Security'!$E$4:$E$10,MATCH($A6,'Vendor &amp; Security'!$A$4:$A$10,0)),'Reference Lists'!$B$4:$B$7,0),MATCH(INDEX('Data &amp; Privacy'!$D$4:$D$10,MATCH($A6,'Data &amp; Privacy'!$A$4:$A$10,0)),'Reference Lists'!$B$4:$B$7,0),MATCH(INDEX('Legal &amp; Compliance'!$D$4:$D$10,MATCH($A6,'Legal &amp; Compliance'!$A$4:$A$10,0)),'Reference Lists'!$B$4:$B$7,0)),"Vendor ("&amp;INDEX('Vendor &amp; Security'!$E$4:$E$10,MATCH($A6,'Vendor &amp; Security'!$A$4:$A$10,0))&amp;")",""),IF(MATCH(INDEX('Data &amp; Privacy'!$D$4:$D$10,MATCH($A6,'Data &amp; Privacy'!$A$4:$A$10,0)),'Reference Lists'!$B$4:$B$7,0)=MAX(MATCH(D6,'Reference Lists'!$B$4:$B$7,0),MATCH(INDEX('Vendor &amp; Security'!$E$4:$E$10,MATCH($A6,'Vendor &amp; Security'!$A$4:$A$10,0)),'Reference Lists'!$B$4:$B$7,0),MATCH(INDEX('Data &amp; Privacy'!$D$4:$D$10,MATCH($A6,'Data &amp; Privacy'!$A$4:$A$10,0)),'Reference Lists'!$B$4:$B$7,0),MATCH(INDEX('Legal &amp; Compliance'!$D$4:$D$10,MATCH($A6,'Legal &amp; Compliance'!$A$4:$A$10,0)),'Reference Lists'!$B$4:$B$7,0)),"Privacy ("&amp;INDEX('Data &amp; Privacy'!$D$4:$D$10,MATCH($A6,'Data &amp; Privacy'!$A$4:$A$10,0))&amp;")",""),IF(MATCH(INDEX('Legal &amp; Compliance'!$D$4:$D$10,MATCH($A6,'Legal &amp; Compliance'!$A$4:$A$10,0)),'Reference Lists'!$B$4:$B$7,0)=MAX(MATCH(D6,'Reference Lists'!$B$4:$B$7,0),MATCH(INDEX('Vendor &amp; Security'!$E$4:$E$10,MATCH($A6,'Vendor &amp; Security'!$A$4:$A$10,0)),'Reference Lists'!$B$4:$B$7,0),MATCH(INDEX('Data &amp; Privacy'!$D$4:$D$10,MATCH($A6,'Data &amp; Privacy'!$A$4:$A$10,0)),'Reference Lists'!$B$4:$B$7,0),MATCH(INDEX('Legal &amp; Compliance'!$D$4:$D$10,MATCH($A6,'Legal &amp; Compliance'!$A$4:$A$10,0)),'Reference Lists'!$B$4:$B$7,0)),"Legal ("&amp;INDEX('Legal &amp; Compliance'!$D$4:$D$10,MATCH($A6,'Legal &amp; Compliance'!$A$4:$A$10,0))&amp;")","")))</f>
        <v>Validated Risk (Moderate), Vendor (Moderate), Privacy (Moderate), Legal (Moderate)</v>
      </c>
      <c r="H6" s="2" t="s">
        <v>232</v>
      </c>
      <c r="I6" s="2" t="s">
        <v>250</v>
      </c>
      <c r="J6" s="2" t="s">
        <v>377</v>
      </c>
      <c r="K6" s="2" t="s">
        <v>375</v>
      </c>
      <c r="L6" s="2" t="str">
        <f t="shared" si="1"/>
        <v>No</v>
      </c>
      <c r="M6" s="2" t="str">
        <f t="shared" si="2"/>
        <v>No</v>
      </c>
      <c r="N6" s="2" t="str">
        <f>IFERROR(INDEX('AI Inventory'!$T$5:$T$11,MATCH(A6,'AI Inventory'!$A$5:$A$11,0)),"")</f>
        <v>P3</v>
      </c>
      <c r="O6" s="2" t="str">
        <f>IFERROR(INDEX('Risk &amp; Harm Assessment'!$W$5:$W$11,MATCH(A6,'Risk &amp; Harm Assessment'!$A$5:$A$11,0)),"")</f>
        <v>Data leakage and disclosure, Prompt injection and adversarial input, Hallucination and incorrect output, Unauthorized data retention, Model drift and degradation, Overreliance and automation bias, Third-party and value chain risk, Information security risk</v>
      </c>
      <c r="P6" s="2">
        <f>IFERROR(INDEX('Risk &amp; Harm Assessment'!$X$5:$X$11,MATCH(A6,'Risk &amp; Harm Assessment'!$A$5:$A$11,0)),"")</f>
        <v>8</v>
      </c>
      <c r="Q6" s="2" t="str">
        <f>IFERROR(INDEX('Risk &amp; Harm Assessment'!$Y$5:$Y$11,MATCH(A6,'Risk &amp; Harm Assessment'!$A$5:$A$11,0)),"")</f>
        <v>Organizational harm, Confidentiality harm, Information integrity harm</v>
      </c>
      <c r="R6" s="2">
        <f>IFERROR(INDEX('Risk &amp; Harm Assessment'!$Z$5:$Z$11,MATCH(A6,'Risk &amp; Harm Assessment'!$A$5:$A$11,0)),"")</f>
        <v>3</v>
      </c>
      <c r="S6" s="2" t="str">
        <f>_xlfn.TEXTJOIN(", ",TRUE,IF(INDEX('Risk &amp; Harm Assessment'!$C$5:$C$11,MATCH($A6,'Risk &amp; Harm Assessment'!$A$5:$A$11,0))="Yes",INDEX('Reference Lists'!$M$4:$M$16,1),""),IF(INDEX('Risk &amp; Harm Assessment'!$D$5:$D$11,MATCH($A6,'Risk &amp; Harm Assessment'!$A$5:$A$11,0))="Yes",INDEX('Reference Lists'!$M$4:$M$16,2),""),IF(INDEX('Risk &amp; Harm Assessment'!$E$5:$E$11,MATCH($A6,'Risk &amp; Harm Assessment'!$A$5:$A$11,0))="Yes",INDEX('Reference Lists'!$M$4:$M$16,3),""),IF(INDEX('Risk &amp; Harm Assessment'!$F$5:$F$11,MATCH($A6,'Risk &amp; Harm Assessment'!$A$5:$A$11,0))="Yes",INDEX('Reference Lists'!$M$4:$M$16,4),""),IF(INDEX('Risk &amp; Harm Assessment'!$G$5:$G$11,MATCH($A6,'Risk &amp; Harm Assessment'!$A$5:$A$11,0))="Yes",INDEX('Reference Lists'!$M$4:$M$16,5),""),IF(INDEX('Risk &amp; Harm Assessment'!$H$5:$H$11,MATCH($A6,'Risk &amp; Harm Assessment'!$A$5:$A$11,0))="Yes",INDEX('Reference Lists'!$M$4:$M$16,6),""),IF(INDEX('Risk &amp; Harm Assessment'!$I$5:$I$11,MATCH($A6,'Risk &amp; Harm Assessment'!$A$5:$A$11,0))="Yes",INDEX('Reference Lists'!$M$4:$M$16,7),""),IF(INDEX('Risk &amp; Harm Assessment'!$J$5:$J$11,MATCH($A6,'Risk &amp; Harm Assessment'!$A$5:$A$11,0))="Yes",INDEX('Reference Lists'!$M$4:$M$16,8),""),IF(INDEX('Risk &amp; Harm Assessment'!$K$5:$K$11,MATCH($A6,'Risk &amp; Harm Assessment'!$A$5:$A$11,0))="Yes",INDEX('Reference Lists'!$M$4:$M$16,9),""),IF(INDEX('Risk &amp; Harm Assessment'!$L$5:$L$11,MATCH($A6,'Risk &amp; Harm Assessment'!$A$5:$A$11,0))="Yes",INDEX('Reference Lists'!$M$4:$M$16,10),""),IF(INDEX('Risk &amp; Harm Assessment'!$M$5:$M$11,MATCH($A6,'Risk &amp; Harm Assessment'!$A$5:$A$11,0))="Yes",INDEX('Reference Lists'!$M$4:$M$16,11),""),IF(INDEX('Risk &amp; Harm Assessment'!$N$5:$N$11,MATCH($A6,'Risk &amp; Harm Assessment'!$A$5:$A$11,0))="Yes",INDEX('Reference Lists'!$M$4:$M$16,12),""),IF(INDEX('Risk &amp; Harm Assessment'!$O$5:$O$11,MATCH($A6,'Risk &amp; Harm Assessment'!$A$5:$A$11,0))="Yes",INDEX('Reference Lists'!$M$4:$M$16,13),""))</f>
        <v>Data flow, classification, retention and deletion terms, Guardrails, abuse testing, monitoring, Validation process, user guidance, review requirements, Contract terms, DPA, vendor documentation, Change notification, monitoring approach, review cadence, Human oversight model, training, disclaimers, ITDRA, SOC 2 or ISO evidence, subprocessor review, Architecture review, MFA, RBAC, logging, patching</v>
      </c>
    </row>
    <row r="7" spans="1:19" ht="112" customHeight="1" x14ac:dyDescent="0.2">
      <c r="A7" s="2" t="str">
        <f>INDEX('AI Inventory'!$A$5:$A$11,4)</f>
        <v>AI-004</v>
      </c>
      <c r="B7" s="2" t="str">
        <f>INDEX('AI Inventory'!$C$5:$C$11,4)</f>
        <v>Synthesia</v>
      </c>
      <c r="C7" s="2" t="str">
        <f>IFERROR(INDEX('AI Inventory'!$H$5:$H$11,MATCH(A7,'AI Inventory'!$A$5:$A$11,0)),"")</f>
        <v>Moderate</v>
      </c>
      <c r="D7" s="2" t="str">
        <f>INDEX('Reference Lists'!$B$4:$B$7,MAX(MATCH(C7,'Reference Lists'!$B$4:$B$7,0),MATCH( IF(INDEX('Risk &amp; Harm Assessment'!$R$5:$R$11,MATCH($A7,'Risk &amp; Harm Assessment'!$A$5:$A$11,0))="Yes","Critical", IF(AND(INDEX('Risk &amp; Harm Assessment'!$H$5:$H$11,MATCH($A7,'Risk &amp; Harm Assessment'!$A$5:$A$11,0))="Yes",ISNUMBER(SEARCH("Agentic",'AI Inventory'!F8))),"Critical", IF(AND(OR(INDEX('Risk &amp; Harm Assessment'!$N$5:$N$11,MATCH($A7,'Risk &amp; Harm Assessment'!$A$5:$A$11,0))="Yes",'AI Inventory'!N8="Yes"),'AI Inventory'!L8="Sensitive"),"Critical", IF(AND(OR(INDEX('Risk &amp; Harm Assessment'!$N$5:$N$11,MATCH($A7,'Risk &amp; Harm Assessment'!$A$5:$A$11,0))="Yes",'AI Inventory'!N8="Yes"),'AI Inventory'!L8="Confidential"),"High", IF(AND(ISNUMBER(SEARCH("Agentic",'AI Inventory'!F8)),INDEX('Risk &amp; Harm Assessment'!$L$5:$L$11,MATCH($A7,'Risk &amp; Harm Assessment'!$A$5:$A$11,0))="Yes"),"High", IF(AND(INDEX('Risk &amp; Harm Assessment'!$K$5:$K$11,MATCH($A7,'Risk &amp; Harm Assessment'!$A$5:$A$11,0))="Yes",'AI Inventory'!N8="Yes"),"High", IF(INDEX('Risk &amp; Harm Assessment'!$I$5:$I$11,MATCH($A7,'Risk &amp; Harm Assessment'!$A$5:$A$11,0))="Yes","High", IF(AND(ISNUMBER(SEARCH("Generative",'AI Inventory'!F8)),C7="Low"),"Moderate",C7) ))))))),'Reference Lists'!$B$4:$B$7,0)))</f>
        <v>Moderate</v>
      </c>
      <c r="E7" s="2" t="str">
        <f t="shared" si="0"/>
        <v>Confirmed at Moderate</v>
      </c>
      <c r="F7" s="2" t="str">
        <f>INDEX('Reference Lists'!$B$4:$B$7,MAX(MATCH(D7,'Reference Lists'!$B$4:$B$7,0),MATCH(INDEX('Vendor &amp; Security'!$E$4:$E$10,MATCH($A7,'Vendor &amp; Security'!$A$4:$A$10,0)),'Reference Lists'!$B$4:$B$7,0),MATCH(INDEX('Data &amp; Privacy'!$D$4:$D$10,MATCH($A7,'Data &amp; Privacy'!$A$4:$A$10,0)),'Reference Lists'!$B$4:$B$7,0),MATCH(INDEX('Legal &amp; Compliance'!$D$4:$D$10,MATCH($A7,'Legal &amp; Compliance'!$A$4:$A$10,0)),'Reference Lists'!$B$4:$B$7,0)))</f>
        <v>Moderate</v>
      </c>
      <c r="G7" s="2" t="str">
        <f>TRIM(_xlfn.TEXTJOIN(", ",TRUE,IF(MATCH(D7,'Reference Lists'!$B$4:$B$7,0)=MAX(MATCH(D7,'Reference Lists'!$B$4:$B$7,0),MATCH(INDEX('Vendor &amp; Security'!$E$4:$E$10,MATCH($A7,'Vendor &amp; Security'!$A$4:$A$10,0)),'Reference Lists'!$B$4:$B$7,0),MATCH(INDEX('Data &amp; Privacy'!$D$4:$D$10,MATCH($A7,'Data &amp; Privacy'!$A$4:$A$10,0)),'Reference Lists'!$B$4:$B$7,0),MATCH(INDEX('Legal &amp; Compliance'!$D$4:$D$10,MATCH($A7,'Legal &amp; Compliance'!$A$4:$A$10,0)),'Reference Lists'!$B$4:$B$7,0)),"Validated Risk ("&amp;D7&amp;")",""),IF(MATCH(INDEX('Vendor &amp; Security'!$E$4:$E$10,MATCH($A7,'Vendor &amp; Security'!$A$4:$A$10,0)),'Reference Lists'!$B$4:$B$7,0)=MAX(MATCH(D7,'Reference Lists'!$B$4:$B$7,0),MATCH(INDEX('Vendor &amp; Security'!$E$4:$E$10,MATCH($A7,'Vendor &amp; Security'!$A$4:$A$10,0)),'Reference Lists'!$B$4:$B$7,0),MATCH(INDEX('Data &amp; Privacy'!$D$4:$D$10,MATCH($A7,'Data &amp; Privacy'!$A$4:$A$10,0)),'Reference Lists'!$B$4:$B$7,0),MATCH(INDEX('Legal &amp; Compliance'!$D$4:$D$10,MATCH($A7,'Legal &amp; Compliance'!$A$4:$A$10,0)),'Reference Lists'!$B$4:$B$7,0)),"Vendor ("&amp;INDEX('Vendor &amp; Security'!$E$4:$E$10,MATCH($A7,'Vendor &amp; Security'!$A$4:$A$10,0))&amp;")",""),IF(MATCH(INDEX('Data &amp; Privacy'!$D$4:$D$10,MATCH($A7,'Data &amp; Privacy'!$A$4:$A$10,0)),'Reference Lists'!$B$4:$B$7,0)=MAX(MATCH(D7,'Reference Lists'!$B$4:$B$7,0),MATCH(INDEX('Vendor &amp; Security'!$E$4:$E$10,MATCH($A7,'Vendor &amp; Security'!$A$4:$A$10,0)),'Reference Lists'!$B$4:$B$7,0),MATCH(INDEX('Data &amp; Privacy'!$D$4:$D$10,MATCH($A7,'Data &amp; Privacy'!$A$4:$A$10,0)),'Reference Lists'!$B$4:$B$7,0),MATCH(INDEX('Legal &amp; Compliance'!$D$4:$D$10,MATCH($A7,'Legal &amp; Compliance'!$A$4:$A$10,0)),'Reference Lists'!$B$4:$B$7,0)),"Privacy ("&amp;INDEX('Data &amp; Privacy'!$D$4:$D$10,MATCH($A7,'Data &amp; Privacy'!$A$4:$A$10,0))&amp;")",""),IF(MATCH(INDEX('Legal &amp; Compliance'!$D$4:$D$10,MATCH($A7,'Legal &amp; Compliance'!$A$4:$A$10,0)),'Reference Lists'!$B$4:$B$7,0)=MAX(MATCH(D7,'Reference Lists'!$B$4:$B$7,0),MATCH(INDEX('Vendor &amp; Security'!$E$4:$E$10,MATCH($A7,'Vendor &amp; Security'!$A$4:$A$10,0)),'Reference Lists'!$B$4:$B$7,0),MATCH(INDEX('Data &amp; Privacy'!$D$4:$D$10,MATCH($A7,'Data &amp; Privacy'!$A$4:$A$10,0)),'Reference Lists'!$B$4:$B$7,0),MATCH(INDEX('Legal &amp; Compliance'!$D$4:$D$10,MATCH($A7,'Legal &amp; Compliance'!$A$4:$A$10,0)),'Reference Lists'!$B$4:$B$7,0)),"Legal ("&amp;INDEX('Legal &amp; Compliance'!$D$4:$D$10,MATCH($A7,'Legal &amp; Compliance'!$A$4:$A$10,0))&amp;")","")))</f>
        <v>Validated Risk (Moderate), Privacy (Moderate), Legal (Moderate)</v>
      </c>
      <c r="H7" s="2" t="s">
        <v>244</v>
      </c>
      <c r="I7" s="2" t="s">
        <v>249</v>
      </c>
      <c r="J7" s="2" t="s">
        <v>378</v>
      </c>
      <c r="K7" s="2" t="s">
        <v>375</v>
      </c>
      <c r="L7" s="2" t="str">
        <f t="shared" si="1"/>
        <v>No</v>
      </c>
      <c r="M7" s="2" t="str">
        <f t="shared" si="2"/>
        <v>No</v>
      </c>
      <c r="N7" s="2" t="str">
        <f>IFERROR(INDEX('AI Inventory'!$T$5:$T$11,MATCH(A7,'AI Inventory'!$A$5:$A$11,0)),"")</f>
        <v>P19</v>
      </c>
      <c r="O7" s="2" t="str">
        <f>IFERROR(INDEX('Risk &amp; Harm Assessment'!$W$5:$W$11,MATCH(A7,'Risk &amp; Harm Assessment'!$A$5:$A$11,0)),"")</f>
        <v>Data leakage and disclosure, Hallucination and incorrect output, Unauthorized data retention, Overreliance and automation bias, Bias and harmful output, Third-party and value chain risk, Information security risk, Privacy risk, Regulatory and legal risk</v>
      </c>
      <c r="P7" s="2">
        <f>IFERROR(INDEX('Risk &amp; Harm Assessment'!$X$5:$X$11,MATCH(A7,'Risk &amp; Harm Assessment'!$A$5:$A$11,0)),"")</f>
        <v>9</v>
      </c>
      <c r="Q7" s="2" t="str">
        <f>IFERROR(INDEX('Risk &amp; Harm Assessment'!$Y$5:$Y$11,MATCH(A7,'Risk &amp; Harm Assessment'!$A$5:$A$11,0)),"")</f>
        <v>Individual harm, Organizational harm, Regulatory harm, Confidentiality harm, Information integrity harm</v>
      </c>
      <c r="R7" s="2">
        <f>IFERROR(INDEX('Risk &amp; Harm Assessment'!$Z$5:$Z$11,MATCH(A7,'Risk &amp; Harm Assessment'!$A$5:$A$11,0)),"")</f>
        <v>5</v>
      </c>
      <c r="S7" s="2" t="str">
        <f>_xlfn.TEXTJOIN(", ",TRUE,IF(INDEX('Risk &amp; Harm Assessment'!$C$5:$C$11,MATCH($A7,'Risk &amp; Harm Assessment'!$A$5:$A$11,0))="Yes",INDEX('Reference Lists'!$M$4:$M$16,1),""),IF(INDEX('Risk &amp; Harm Assessment'!$D$5:$D$11,MATCH($A7,'Risk &amp; Harm Assessment'!$A$5:$A$11,0))="Yes",INDEX('Reference Lists'!$M$4:$M$16,2),""),IF(INDEX('Risk &amp; Harm Assessment'!$E$5:$E$11,MATCH($A7,'Risk &amp; Harm Assessment'!$A$5:$A$11,0))="Yes",INDEX('Reference Lists'!$M$4:$M$16,3),""),IF(INDEX('Risk &amp; Harm Assessment'!$F$5:$F$11,MATCH($A7,'Risk &amp; Harm Assessment'!$A$5:$A$11,0))="Yes",INDEX('Reference Lists'!$M$4:$M$16,4),""),IF(INDEX('Risk &amp; Harm Assessment'!$G$5:$G$11,MATCH($A7,'Risk &amp; Harm Assessment'!$A$5:$A$11,0))="Yes",INDEX('Reference Lists'!$M$4:$M$16,5),""),IF(INDEX('Risk &amp; Harm Assessment'!$H$5:$H$11,MATCH($A7,'Risk &amp; Harm Assessment'!$A$5:$A$11,0))="Yes",INDEX('Reference Lists'!$M$4:$M$16,6),""),IF(INDEX('Risk &amp; Harm Assessment'!$I$5:$I$11,MATCH($A7,'Risk &amp; Harm Assessment'!$A$5:$A$11,0))="Yes",INDEX('Reference Lists'!$M$4:$M$16,7),""),IF(INDEX('Risk &amp; Harm Assessment'!$J$5:$J$11,MATCH($A7,'Risk &amp; Harm Assessment'!$A$5:$A$11,0))="Yes",INDEX('Reference Lists'!$M$4:$M$16,8),""),IF(INDEX('Risk &amp; Harm Assessment'!$K$5:$K$11,MATCH($A7,'Risk &amp; Harm Assessment'!$A$5:$A$11,0))="Yes",INDEX('Reference Lists'!$M$4:$M$16,9),""),IF(INDEX('Risk &amp; Harm Assessment'!$L$5:$L$11,MATCH($A7,'Risk &amp; Harm Assessment'!$A$5:$A$11,0))="Yes",INDEX('Reference Lists'!$M$4:$M$16,10),""),IF(INDEX('Risk &amp; Harm Assessment'!$M$5:$M$11,MATCH($A7,'Risk &amp; Harm Assessment'!$A$5:$A$11,0))="Yes",INDEX('Reference Lists'!$M$4:$M$16,11),""),IF(INDEX('Risk &amp; Harm Assessment'!$N$5:$N$11,MATCH($A7,'Risk &amp; Harm Assessment'!$A$5:$A$11,0))="Yes",INDEX('Reference Lists'!$M$4:$M$16,12),""),IF(INDEX('Risk &amp; Harm Assessment'!$O$5:$O$11,MATCH($A7,'Risk &amp; Harm Assessment'!$A$5:$A$11,0))="Yes",INDEX('Reference Lists'!$M$4:$M$16,13),""))</f>
        <v>Data flow, classification, retention and deletion terms, Validation process, user guidance, review requirements, Contract terms, DPA, vendor documentation, Human oversight model, training, disclaimers, Bias assessment, human review, prohibited uses, ITDRA, SOC 2 or ISO evidence, subprocessor review, Architecture review, MFA, RBAC, logging, patching, Privacy review, DPA, retention controls, Legal and Compliance review, regulatory mapping</v>
      </c>
    </row>
    <row r="8" spans="1:19" ht="144" customHeight="1" x14ac:dyDescent="0.2">
      <c r="A8" s="2" t="str">
        <f>INDEX('AI Inventory'!$A$5:$A$11,5)</f>
        <v>AI-005</v>
      </c>
      <c r="B8" s="2" t="str">
        <f>INDEX('AI Inventory'!$C$5:$C$11,5)</f>
        <v>Levy AI</v>
      </c>
      <c r="C8" s="2" t="str">
        <f>IFERROR(INDEX('AI Inventory'!$H$5:$H$11,MATCH(A8,'AI Inventory'!$A$5:$A$11,0)),"")</f>
        <v>High</v>
      </c>
      <c r="D8" s="2" t="str">
        <f>INDEX('Reference Lists'!$B$4:$B$7,MAX(MATCH(C8,'Reference Lists'!$B$4:$B$7,0),MATCH( IF(INDEX('Risk &amp; Harm Assessment'!$R$5:$R$11,MATCH($A8,'Risk &amp; Harm Assessment'!$A$5:$A$11,0))="Yes","Critical", IF(AND(INDEX('Risk &amp; Harm Assessment'!$H$5:$H$11,MATCH($A8,'Risk &amp; Harm Assessment'!$A$5:$A$11,0))="Yes",ISNUMBER(SEARCH("Agentic",'AI Inventory'!F9))),"Critical", IF(AND(OR(INDEX('Risk &amp; Harm Assessment'!$N$5:$N$11,MATCH($A8,'Risk &amp; Harm Assessment'!$A$5:$A$11,0))="Yes",'AI Inventory'!N9="Yes"),'AI Inventory'!L9="Sensitive"),"Critical", IF(AND(OR(INDEX('Risk &amp; Harm Assessment'!$N$5:$N$11,MATCH($A8,'Risk &amp; Harm Assessment'!$A$5:$A$11,0))="Yes",'AI Inventory'!N9="Yes"),'AI Inventory'!L9="Confidential"),"High", IF(AND(ISNUMBER(SEARCH("Agentic",'AI Inventory'!F9)),INDEX('Risk &amp; Harm Assessment'!$L$5:$L$11,MATCH($A8,'Risk &amp; Harm Assessment'!$A$5:$A$11,0))="Yes"),"High", IF(AND(INDEX('Risk &amp; Harm Assessment'!$K$5:$K$11,MATCH($A8,'Risk &amp; Harm Assessment'!$A$5:$A$11,0))="Yes",'AI Inventory'!N9="Yes"),"High", IF(INDEX('Risk &amp; Harm Assessment'!$I$5:$I$11,MATCH($A8,'Risk &amp; Harm Assessment'!$A$5:$A$11,0))="Yes","High", IF(AND(ISNUMBER(SEARCH("Generative",'AI Inventory'!F9)),C8="Low"),"Moderate",C8) ))))))),'Reference Lists'!$B$4:$B$7,0)))</f>
        <v>Critical</v>
      </c>
      <c r="E8" s="2" t="str">
        <f t="shared" si="0"/>
        <v>Escalate: High to Critical</v>
      </c>
      <c r="F8" s="2" t="str">
        <f>INDEX('Reference Lists'!$B$4:$B$7,MAX(MATCH(D8,'Reference Lists'!$B$4:$B$7,0),MATCH(INDEX('Vendor &amp; Security'!$E$4:$E$10,MATCH($A8,'Vendor &amp; Security'!$A$4:$A$10,0)),'Reference Lists'!$B$4:$B$7,0),MATCH(INDEX('Data &amp; Privacy'!$D$4:$D$10,MATCH($A8,'Data &amp; Privacy'!$A$4:$A$10,0)),'Reference Lists'!$B$4:$B$7,0),MATCH(INDEX('Legal &amp; Compliance'!$D$4:$D$10,MATCH($A8,'Legal &amp; Compliance'!$A$4:$A$10,0)),'Reference Lists'!$B$4:$B$7,0)))</f>
        <v>Critical</v>
      </c>
      <c r="G8" s="2" t="str">
        <f>TRIM(_xlfn.TEXTJOIN(", ",TRUE,IF(MATCH(D8,'Reference Lists'!$B$4:$B$7,0)=MAX(MATCH(D8,'Reference Lists'!$B$4:$B$7,0),MATCH(INDEX('Vendor &amp; Security'!$E$4:$E$10,MATCH($A8,'Vendor &amp; Security'!$A$4:$A$10,0)),'Reference Lists'!$B$4:$B$7,0),MATCH(INDEX('Data &amp; Privacy'!$D$4:$D$10,MATCH($A8,'Data &amp; Privacy'!$A$4:$A$10,0)),'Reference Lists'!$B$4:$B$7,0),MATCH(INDEX('Legal &amp; Compliance'!$D$4:$D$10,MATCH($A8,'Legal &amp; Compliance'!$A$4:$A$10,0)),'Reference Lists'!$B$4:$B$7,0)),"Validated Risk ("&amp;D8&amp;")",""),IF(MATCH(INDEX('Vendor &amp; Security'!$E$4:$E$10,MATCH($A8,'Vendor &amp; Security'!$A$4:$A$10,0)),'Reference Lists'!$B$4:$B$7,0)=MAX(MATCH(D8,'Reference Lists'!$B$4:$B$7,0),MATCH(INDEX('Vendor &amp; Security'!$E$4:$E$10,MATCH($A8,'Vendor &amp; Security'!$A$4:$A$10,0)),'Reference Lists'!$B$4:$B$7,0),MATCH(INDEX('Data &amp; Privacy'!$D$4:$D$10,MATCH($A8,'Data &amp; Privacy'!$A$4:$A$10,0)),'Reference Lists'!$B$4:$B$7,0),MATCH(INDEX('Legal &amp; Compliance'!$D$4:$D$10,MATCH($A8,'Legal &amp; Compliance'!$A$4:$A$10,0)),'Reference Lists'!$B$4:$B$7,0)),"Vendor ("&amp;INDEX('Vendor &amp; Security'!$E$4:$E$10,MATCH($A8,'Vendor &amp; Security'!$A$4:$A$10,0))&amp;")",""),IF(MATCH(INDEX('Data &amp; Privacy'!$D$4:$D$10,MATCH($A8,'Data &amp; Privacy'!$A$4:$A$10,0)),'Reference Lists'!$B$4:$B$7,0)=MAX(MATCH(D8,'Reference Lists'!$B$4:$B$7,0),MATCH(INDEX('Vendor &amp; Security'!$E$4:$E$10,MATCH($A8,'Vendor &amp; Security'!$A$4:$A$10,0)),'Reference Lists'!$B$4:$B$7,0),MATCH(INDEX('Data &amp; Privacy'!$D$4:$D$10,MATCH($A8,'Data &amp; Privacy'!$A$4:$A$10,0)),'Reference Lists'!$B$4:$B$7,0),MATCH(INDEX('Legal &amp; Compliance'!$D$4:$D$10,MATCH($A8,'Legal &amp; Compliance'!$A$4:$A$10,0)),'Reference Lists'!$B$4:$B$7,0)),"Privacy ("&amp;INDEX('Data &amp; Privacy'!$D$4:$D$10,MATCH($A8,'Data &amp; Privacy'!$A$4:$A$10,0))&amp;")",""),IF(MATCH(INDEX('Legal &amp; Compliance'!$D$4:$D$10,MATCH($A8,'Legal &amp; Compliance'!$A$4:$A$10,0)),'Reference Lists'!$B$4:$B$7,0)=MAX(MATCH(D8,'Reference Lists'!$B$4:$B$7,0),MATCH(INDEX('Vendor &amp; Security'!$E$4:$E$10,MATCH($A8,'Vendor &amp; Security'!$A$4:$A$10,0)),'Reference Lists'!$B$4:$B$7,0),MATCH(INDEX('Data &amp; Privacy'!$D$4:$D$10,MATCH($A8,'Data &amp; Privacy'!$A$4:$A$10,0)),'Reference Lists'!$B$4:$B$7,0),MATCH(INDEX('Legal &amp; Compliance'!$D$4:$D$10,MATCH($A8,'Legal &amp; Compliance'!$A$4:$A$10,0)),'Reference Lists'!$B$4:$B$7,0)),"Legal ("&amp;INDEX('Legal &amp; Compliance'!$D$4:$D$10,MATCH($A8,'Legal &amp; Compliance'!$A$4:$A$10,0))&amp;")","")))</f>
        <v>Validated Risk (Critical), Privacy (Critical)</v>
      </c>
      <c r="H8" s="2" t="s">
        <v>241</v>
      </c>
      <c r="I8" s="2" t="s">
        <v>247</v>
      </c>
      <c r="J8" s="2" t="s">
        <v>379</v>
      </c>
      <c r="K8" s="2" t="s">
        <v>375</v>
      </c>
      <c r="L8" s="2" t="str">
        <f t="shared" si="1"/>
        <v>Yes</v>
      </c>
      <c r="M8" s="2" t="str">
        <f t="shared" si="2"/>
        <v>Yes</v>
      </c>
      <c r="N8" s="2" t="str">
        <f>IFERROR(INDEX('AI Inventory'!$T$5:$T$11,MATCH(A8,'AI Inventory'!$A$5:$A$11,0)),"")</f>
        <v>P5</v>
      </c>
      <c r="O8" s="2" t="str">
        <f>IFERROR(INDEX('Risk &amp; Harm Assessment'!$W$5:$W$11,MATCH(A8,'Risk &amp; Harm Assessment'!$A$5:$A$11,0)),"")</f>
        <v>Data leakage and disclosure, Prompt injection and adversarial input, Hallucination and incorrect output, Unauthorized data retention, Model drift and degradation, Data poisoning, Overreliance and automation bias, Third-party and value chain risk, Information security risk, Privacy risk, Regulatory and legal risk</v>
      </c>
      <c r="P8" s="2">
        <f>IFERROR(INDEX('Risk &amp; Harm Assessment'!$X$5:$X$11,MATCH(A8,'Risk &amp; Harm Assessment'!$A$5:$A$11,0)),"")</f>
        <v>11</v>
      </c>
      <c r="Q8" s="2" t="str">
        <f>IFERROR(INDEX('Risk &amp; Harm Assessment'!$Y$5:$Y$11,MATCH(A8,'Risk &amp; Harm Assessment'!$A$5:$A$11,0)),"")</f>
        <v>Individual harm, Organizational harm, Regulatory harm, Confidentiality harm, Information integrity harm</v>
      </c>
      <c r="R8" s="2">
        <f>IFERROR(INDEX('Risk &amp; Harm Assessment'!$Z$5:$Z$11,MATCH(A8,'Risk &amp; Harm Assessment'!$A$5:$A$11,0)),"")</f>
        <v>5</v>
      </c>
      <c r="S8" s="2" t="str">
        <f>_xlfn.TEXTJOIN(", ",TRUE,IF(INDEX('Risk &amp; Harm Assessment'!$C$5:$C$11,MATCH($A8,'Risk &amp; Harm Assessment'!$A$5:$A$11,0))="Yes",INDEX('Reference Lists'!$M$4:$M$16,1),""),IF(INDEX('Risk &amp; Harm Assessment'!$D$5:$D$11,MATCH($A8,'Risk &amp; Harm Assessment'!$A$5:$A$11,0))="Yes",INDEX('Reference Lists'!$M$4:$M$16,2),""),IF(INDEX('Risk &amp; Harm Assessment'!$E$5:$E$11,MATCH($A8,'Risk &amp; Harm Assessment'!$A$5:$A$11,0))="Yes",INDEX('Reference Lists'!$M$4:$M$16,3),""),IF(INDEX('Risk &amp; Harm Assessment'!$F$5:$F$11,MATCH($A8,'Risk &amp; Harm Assessment'!$A$5:$A$11,0))="Yes",INDEX('Reference Lists'!$M$4:$M$16,4),""),IF(INDEX('Risk &amp; Harm Assessment'!$G$5:$G$11,MATCH($A8,'Risk &amp; Harm Assessment'!$A$5:$A$11,0))="Yes",INDEX('Reference Lists'!$M$4:$M$16,5),""),IF(INDEX('Risk &amp; Harm Assessment'!$H$5:$H$11,MATCH($A8,'Risk &amp; Harm Assessment'!$A$5:$A$11,0))="Yes",INDEX('Reference Lists'!$M$4:$M$16,6),""),IF(INDEX('Risk &amp; Harm Assessment'!$I$5:$I$11,MATCH($A8,'Risk &amp; Harm Assessment'!$A$5:$A$11,0))="Yes",INDEX('Reference Lists'!$M$4:$M$16,7),""),IF(INDEX('Risk &amp; Harm Assessment'!$J$5:$J$11,MATCH($A8,'Risk &amp; Harm Assessment'!$A$5:$A$11,0))="Yes",INDEX('Reference Lists'!$M$4:$M$16,8),""),IF(INDEX('Risk &amp; Harm Assessment'!$K$5:$K$11,MATCH($A8,'Risk &amp; Harm Assessment'!$A$5:$A$11,0))="Yes",INDEX('Reference Lists'!$M$4:$M$16,9),""),IF(INDEX('Risk &amp; Harm Assessment'!$L$5:$L$11,MATCH($A8,'Risk &amp; Harm Assessment'!$A$5:$A$11,0))="Yes",INDEX('Reference Lists'!$M$4:$M$16,10),""),IF(INDEX('Risk &amp; Harm Assessment'!$M$5:$M$11,MATCH($A8,'Risk &amp; Harm Assessment'!$A$5:$A$11,0))="Yes",INDEX('Reference Lists'!$M$4:$M$16,11),""),IF(INDEX('Risk &amp; Harm Assessment'!$N$5:$N$11,MATCH($A8,'Risk &amp; Harm Assessment'!$A$5:$A$11,0))="Yes",INDEX('Reference Lists'!$M$4:$M$16,12),""),IF(INDEX('Risk &amp; Harm Assessment'!$O$5:$O$11,MATCH($A8,'Risk &amp; Harm Assessment'!$A$5:$A$11,0))="Yes",INDEX('Reference Lists'!$M$4:$M$16,13),""))</f>
        <v>Data flow, classification, retention and deletion terms, Guardrails, abuse testing, monitoring, Validation process, user guidance, review requirements, Contract terms, DPA, vendor documentation, Change notification, monitoring approach, review cadence, Source validation, access control, change control, Human oversight model, training, disclaimers, ITDRA, SOC 2 or ISO evidence, subprocessor review, Architecture review, MFA, RBAC, logging, patching, Privacy review, DPA, retention controls, Legal and Compliance review, regulatory mapping</v>
      </c>
    </row>
    <row r="9" spans="1:19" ht="112" customHeight="1" x14ac:dyDescent="0.2">
      <c r="A9" s="2" t="str">
        <f>INDEX('AI Inventory'!$A$5:$A$11,6)</f>
        <v>AI-006</v>
      </c>
      <c r="B9" s="2" t="str">
        <f>INDEX('AI Inventory'!$C$5:$C$11,6)</f>
        <v>Startreck.AI</v>
      </c>
      <c r="C9" s="2" t="str">
        <f>IFERROR(INDEX('AI Inventory'!$H$5:$H$11,MATCH(A9,'AI Inventory'!$A$5:$A$11,0)),"")</f>
        <v>High</v>
      </c>
      <c r="D9" s="2" t="str">
        <f>INDEX('Reference Lists'!$B$4:$B$7,MAX(MATCH(C9,'Reference Lists'!$B$4:$B$7,0),MATCH( IF(INDEX('Risk &amp; Harm Assessment'!$R$5:$R$11,MATCH($A9,'Risk &amp; Harm Assessment'!$A$5:$A$11,0))="Yes","Critical", IF(AND(INDEX('Risk &amp; Harm Assessment'!$H$5:$H$11,MATCH($A9,'Risk &amp; Harm Assessment'!$A$5:$A$11,0))="Yes",ISNUMBER(SEARCH("Agentic",'AI Inventory'!F10))),"Critical", IF(AND(OR(INDEX('Risk &amp; Harm Assessment'!$N$5:$N$11,MATCH($A9,'Risk &amp; Harm Assessment'!$A$5:$A$11,0))="Yes",'AI Inventory'!N10="Yes"),'AI Inventory'!L10="Sensitive"),"Critical", IF(AND(OR(INDEX('Risk &amp; Harm Assessment'!$N$5:$N$11,MATCH($A9,'Risk &amp; Harm Assessment'!$A$5:$A$11,0))="Yes",'AI Inventory'!N10="Yes"),'AI Inventory'!L10="Confidential"),"High", IF(AND(ISNUMBER(SEARCH("Agentic",'AI Inventory'!F10)),INDEX('Risk &amp; Harm Assessment'!$L$5:$L$11,MATCH($A9,'Risk &amp; Harm Assessment'!$A$5:$A$11,0))="Yes"),"High", IF(AND(INDEX('Risk &amp; Harm Assessment'!$K$5:$K$11,MATCH($A9,'Risk &amp; Harm Assessment'!$A$5:$A$11,0))="Yes",'AI Inventory'!N10="Yes"),"High", IF(INDEX('Risk &amp; Harm Assessment'!$I$5:$I$11,MATCH($A9,'Risk &amp; Harm Assessment'!$A$5:$A$11,0))="Yes","High", IF(AND(ISNUMBER(SEARCH("Generative",'AI Inventory'!F10)),C9="Low"),"Moderate",C9) ))))))),'Reference Lists'!$B$4:$B$7,0)))</f>
        <v>High</v>
      </c>
      <c r="E9" s="2" t="str">
        <f t="shared" si="0"/>
        <v>Confirmed at High</v>
      </c>
      <c r="F9" s="2" t="str">
        <f>INDEX('Reference Lists'!$B$4:$B$7,MAX(MATCH(D9,'Reference Lists'!$B$4:$B$7,0),MATCH(INDEX('Vendor &amp; Security'!$E$4:$E$10,MATCH($A9,'Vendor &amp; Security'!$A$4:$A$10,0)),'Reference Lists'!$B$4:$B$7,0),MATCH(INDEX('Data &amp; Privacy'!$D$4:$D$10,MATCH($A9,'Data &amp; Privacy'!$A$4:$A$10,0)),'Reference Lists'!$B$4:$B$7,0),MATCH(INDEX('Legal &amp; Compliance'!$D$4:$D$10,MATCH($A9,'Legal &amp; Compliance'!$A$4:$A$10,0)),'Reference Lists'!$B$4:$B$7,0)))</f>
        <v>Critical</v>
      </c>
      <c r="G9" s="2" t="str">
        <f>TRIM(_xlfn.TEXTJOIN(", ",TRUE,IF(MATCH(D9,'Reference Lists'!$B$4:$B$7,0)=MAX(MATCH(D9,'Reference Lists'!$B$4:$B$7,0),MATCH(INDEX('Vendor &amp; Security'!$E$4:$E$10,MATCH($A9,'Vendor &amp; Security'!$A$4:$A$10,0)),'Reference Lists'!$B$4:$B$7,0),MATCH(INDEX('Data &amp; Privacy'!$D$4:$D$10,MATCH($A9,'Data &amp; Privacy'!$A$4:$A$10,0)),'Reference Lists'!$B$4:$B$7,0),MATCH(INDEX('Legal &amp; Compliance'!$D$4:$D$10,MATCH($A9,'Legal &amp; Compliance'!$A$4:$A$10,0)),'Reference Lists'!$B$4:$B$7,0)),"Validated Risk ("&amp;D9&amp;")",""),IF(MATCH(INDEX('Vendor &amp; Security'!$E$4:$E$10,MATCH($A9,'Vendor &amp; Security'!$A$4:$A$10,0)),'Reference Lists'!$B$4:$B$7,0)=MAX(MATCH(D9,'Reference Lists'!$B$4:$B$7,0),MATCH(INDEX('Vendor &amp; Security'!$E$4:$E$10,MATCH($A9,'Vendor &amp; Security'!$A$4:$A$10,0)),'Reference Lists'!$B$4:$B$7,0),MATCH(INDEX('Data &amp; Privacy'!$D$4:$D$10,MATCH($A9,'Data &amp; Privacy'!$A$4:$A$10,0)),'Reference Lists'!$B$4:$B$7,0),MATCH(INDEX('Legal &amp; Compliance'!$D$4:$D$10,MATCH($A9,'Legal &amp; Compliance'!$A$4:$A$10,0)),'Reference Lists'!$B$4:$B$7,0)),"Vendor ("&amp;INDEX('Vendor &amp; Security'!$E$4:$E$10,MATCH($A9,'Vendor &amp; Security'!$A$4:$A$10,0))&amp;")",""),IF(MATCH(INDEX('Data &amp; Privacy'!$D$4:$D$10,MATCH($A9,'Data &amp; Privacy'!$A$4:$A$10,0)),'Reference Lists'!$B$4:$B$7,0)=MAX(MATCH(D9,'Reference Lists'!$B$4:$B$7,0),MATCH(INDEX('Vendor &amp; Security'!$E$4:$E$10,MATCH($A9,'Vendor &amp; Security'!$A$4:$A$10,0)),'Reference Lists'!$B$4:$B$7,0),MATCH(INDEX('Data &amp; Privacy'!$D$4:$D$10,MATCH($A9,'Data &amp; Privacy'!$A$4:$A$10,0)),'Reference Lists'!$B$4:$B$7,0),MATCH(INDEX('Legal &amp; Compliance'!$D$4:$D$10,MATCH($A9,'Legal &amp; Compliance'!$A$4:$A$10,0)),'Reference Lists'!$B$4:$B$7,0)),"Privacy ("&amp;INDEX('Data &amp; Privacy'!$D$4:$D$10,MATCH($A9,'Data &amp; Privacy'!$A$4:$A$10,0))&amp;")",""),IF(MATCH(INDEX('Legal &amp; Compliance'!$D$4:$D$10,MATCH($A9,'Legal &amp; Compliance'!$A$4:$A$10,0)),'Reference Lists'!$B$4:$B$7,0)=MAX(MATCH(D9,'Reference Lists'!$B$4:$B$7,0),MATCH(INDEX('Vendor &amp; Security'!$E$4:$E$10,MATCH($A9,'Vendor &amp; Security'!$A$4:$A$10,0)),'Reference Lists'!$B$4:$B$7,0),MATCH(INDEX('Data &amp; Privacy'!$D$4:$D$10,MATCH($A9,'Data &amp; Privacy'!$A$4:$A$10,0)),'Reference Lists'!$B$4:$B$7,0),MATCH(INDEX('Legal &amp; Compliance'!$D$4:$D$10,MATCH($A9,'Legal &amp; Compliance'!$A$4:$A$10,0)),'Reference Lists'!$B$4:$B$7,0)),"Legal ("&amp;INDEX('Legal &amp; Compliance'!$D$4:$D$10,MATCH($A9,'Legal &amp; Compliance'!$A$4:$A$10,0))&amp;")","")))</f>
        <v>Vendor (Critical), Legal (Critical)</v>
      </c>
      <c r="H9" s="2" t="s">
        <v>244</v>
      </c>
      <c r="I9" s="2" t="s">
        <v>249</v>
      </c>
      <c r="J9" s="2" t="s">
        <v>380</v>
      </c>
      <c r="K9" s="2" t="s">
        <v>375</v>
      </c>
      <c r="L9" s="2" t="str">
        <f t="shared" si="1"/>
        <v>Yes</v>
      </c>
      <c r="M9" s="2" t="str">
        <f t="shared" si="2"/>
        <v>Yes</v>
      </c>
      <c r="N9" s="2" t="str">
        <f>IFERROR(INDEX('AI Inventory'!$T$5:$T$11,MATCH(A9,'AI Inventory'!$A$5:$A$11,0)),"")</f>
        <v>P19</v>
      </c>
      <c r="O9" s="2" t="str">
        <f>IFERROR(INDEX('Risk &amp; Harm Assessment'!$W$5:$W$11,MATCH(A9,'Risk &amp; Harm Assessment'!$A$5:$A$11,0)),"")</f>
        <v>Data leakage and disclosure, Hallucination and incorrect output, Unauthorized data retention, Overreliance and automation bias, Bias and harmful output, Third-party and value chain risk, Information security risk, Regulatory and legal risk</v>
      </c>
      <c r="P9" s="2">
        <f>IFERROR(INDEX('Risk &amp; Harm Assessment'!$X$5:$X$11,MATCH(A9,'Risk &amp; Harm Assessment'!$A$5:$A$11,0)),"")</f>
        <v>8</v>
      </c>
      <c r="Q9" s="2" t="str">
        <f>IFERROR(INDEX('Risk &amp; Harm Assessment'!$Y$5:$Y$11,MATCH(A9,'Risk &amp; Harm Assessment'!$A$5:$A$11,0)),"")</f>
        <v>Individual harm, Organizational harm, Regulatory harm, Confidentiality harm, Information integrity harm</v>
      </c>
      <c r="R9" s="2">
        <f>IFERROR(INDEX('Risk &amp; Harm Assessment'!$Z$5:$Z$11,MATCH(A9,'Risk &amp; Harm Assessment'!$A$5:$A$11,0)),"")</f>
        <v>5</v>
      </c>
      <c r="S9" s="2" t="str">
        <f>_xlfn.TEXTJOIN(", ",TRUE,IF(INDEX('Risk &amp; Harm Assessment'!$C$5:$C$11,MATCH($A9,'Risk &amp; Harm Assessment'!$A$5:$A$11,0))="Yes",INDEX('Reference Lists'!$M$4:$M$16,1),""),IF(INDEX('Risk &amp; Harm Assessment'!$D$5:$D$11,MATCH($A9,'Risk &amp; Harm Assessment'!$A$5:$A$11,0))="Yes",INDEX('Reference Lists'!$M$4:$M$16,2),""),IF(INDEX('Risk &amp; Harm Assessment'!$E$5:$E$11,MATCH($A9,'Risk &amp; Harm Assessment'!$A$5:$A$11,0))="Yes",INDEX('Reference Lists'!$M$4:$M$16,3),""),IF(INDEX('Risk &amp; Harm Assessment'!$F$5:$F$11,MATCH($A9,'Risk &amp; Harm Assessment'!$A$5:$A$11,0))="Yes",INDEX('Reference Lists'!$M$4:$M$16,4),""),IF(INDEX('Risk &amp; Harm Assessment'!$G$5:$G$11,MATCH($A9,'Risk &amp; Harm Assessment'!$A$5:$A$11,0))="Yes",INDEX('Reference Lists'!$M$4:$M$16,5),""),IF(INDEX('Risk &amp; Harm Assessment'!$H$5:$H$11,MATCH($A9,'Risk &amp; Harm Assessment'!$A$5:$A$11,0))="Yes",INDEX('Reference Lists'!$M$4:$M$16,6),""),IF(INDEX('Risk &amp; Harm Assessment'!$I$5:$I$11,MATCH($A9,'Risk &amp; Harm Assessment'!$A$5:$A$11,0))="Yes",INDEX('Reference Lists'!$M$4:$M$16,7),""),IF(INDEX('Risk &amp; Harm Assessment'!$J$5:$J$11,MATCH($A9,'Risk &amp; Harm Assessment'!$A$5:$A$11,0))="Yes",INDEX('Reference Lists'!$M$4:$M$16,8),""),IF(INDEX('Risk &amp; Harm Assessment'!$K$5:$K$11,MATCH($A9,'Risk &amp; Harm Assessment'!$A$5:$A$11,0))="Yes",INDEX('Reference Lists'!$M$4:$M$16,9),""),IF(INDEX('Risk &amp; Harm Assessment'!$L$5:$L$11,MATCH($A9,'Risk &amp; Harm Assessment'!$A$5:$A$11,0))="Yes",INDEX('Reference Lists'!$M$4:$M$16,10),""),IF(INDEX('Risk &amp; Harm Assessment'!$M$5:$M$11,MATCH($A9,'Risk &amp; Harm Assessment'!$A$5:$A$11,0))="Yes",INDEX('Reference Lists'!$M$4:$M$16,11),""),IF(INDEX('Risk &amp; Harm Assessment'!$N$5:$N$11,MATCH($A9,'Risk &amp; Harm Assessment'!$A$5:$A$11,0))="Yes",INDEX('Reference Lists'!$M$4:$M$16,12),""),IF(INDEX('Risk &amp; Harm Assessment'!$O$5:$O$11,MATCH($A9,'Risk &amp; Harm Assessment'!$A$5:$A$11,0))="Yes",INDEX('Reference Lists'!$M$4:$M$16,13),""))</f>
        <v>Data flow, classification, retention and deletion terms, Validation process, user guidance, review requirements, Contract terms, DPA, vendor documentation, Human oversight model, training, disclaimers, Bias assessment, human review, prohibited uses, ITDRA, SOC 2 or ISO evidence, subprocessor review, Architecture review, MFA, RBAC, logging, patching, Legal and Compliance review, regulatory mapping</v>
      </c>
    </row>
    <row r="10" spans="1:19" ht="112" customHeight="1" x14ac:dyDescent="0.2">
      <c r="A10" s="2" t="str">
        <f>INDEX('AI Inventory'!$A$5:$A$11,7)</f>
        <v>AI-007</v>
      </c>
      <c r="B10" s="2" t="str">
        <f>INDEX('AI Inventory'!$C$5:$C$11,7)</f>
        <v>Potential Hazard Navigator</v>
      </c>
      <c r="C10" s="2" t="str">
        <f>IFERROR(INDEX('AI Inventory'!$H$5:$H$11,MATCH(A10,'AI Inventory'!$A$5:$A$11,0)),"")</f>
        <v>High</v>
      </c>
      <c r="D10" s="2" t="str">
        <f>INDEX('Reference Lists'!$B$4:$B$7,MAX(MATCH(C10,'Reference Lists'!$B$4:$B$7,0),MATCH( IF(INDEX('Risk &amp; Harm Assessment'!$R$5:$R$11,MATCH($A10,'Risk &amp; Harm Assessment'!$A$5:$A$11,0))="Yes","Critical", IF(AND(INDEX('Risk &amp; Harm Assessment'!$H$5:$H$11,MATCH($A10,'Risk &amp; Harm Assessment'!$A$5:$A$11,0))="Yes",ISNUMBER(SEARCH("Agentic",'AI Inventory'!F11))),"Critical", IF(AND(OR(INDEX('Risk &amp; Harm Assessment'!$N$5:$N$11,MATCH($A10,'Risk &amp; Harm Assessment'!$A$5:$A$11,0))="Yes",'AI Inventory'!N11="Yes"),'AI Inventory'!L11="Sensitive"),"Critical", IF(AND(OR(INDEX('Risk &amp; Harm Assessment'!$N$5:$N$11,MATCH($A10,'Risk &amp; Harm Assessment'!$A$5:$A$11,0))="Yes",'AI Inventory'!N11="Yes"),'AI Inventory'!L11="Confidential"),"High", IF(AND(ISNUMBER(SEARCH("Agentic",'AI Inventory'!F11)),INDEX('Risk &amp; Harm Assessment'!$L$5:$L$11,MATCH($A10,'Risk &amp; Harm Assessment'!$A$5:$A$11,0))="Yes"),"High", IF(AND(INDEX('Risk &amp; Harm Assessment'!$K$5:$K$11,MATCH($A10,'Risk &amp; Harm Assessment'!$A$5:$A$11,0))="Yes",'AI Inventory'!N11="Yes"),"High", IF(INDEX('Risk &amp; Harm Assessment'!$I$5:$I$11,MATCH($A10,'Risk &amp; Harm Assessment'!$A$5:$A$11,0))="Yes","High", IF(AND(ISNUMBER(SEARCH("Generative",'AI Inventory'!F11)),C10="Low"),"Moderate",C10) ))))))),'Reference Lists'!$B$4:$B$7,0)))</f>
        <v>Critical</v>
      </c>
      <c r="E10" s="2" t="str">
        <f t="shared" si="0"/>
        <v>Escalate: High to Critical</v>
      </c>
      <c r="F10" s="2" t="str">
        <f>INDEX('Reference Lists'!$B$4:$B$7,MAX(MATCH(D10,'Reference Lists'!$B$4:$B$7,0),MATCH(INDEX('Vendor &amp; Security'!$E$4:$E$10,MATCH($A10,'Vendor &amp; Security'!$A$4:$A$10,0)),'Reference Lists'!$B$4:$B$7,0),MATCH(INDEX('Data &amp; Privacy'!$D$4:$D$10,MATCH($A10,'Data &amp; Privacy'!$A$4:$A$10,0)),'Reference Lists'!$B$4:$B$7,0),MATCH(INDEX('Legal &amp; Compliance'!$D$4:$D$10,MATCH($A10,'Legal &amp; Compliance'!$A$4:$A$10,0)),'Reference Lists'!$B$4:$B$7,0)))</f>
        <v>Critical</v>
      </c>
      <c r="G10" s="2" t="str">
        <f>TRIM(_xlfn.TEXTJOIN(", ",TRUE,IF(MATCH(D10,'Reference Lists'!$B$4:$B$7,0)=MAX(MATCH(D10,'Reference Lists'!$B$4:$B$7,0),MATCH(INDEX('Vendor &amp; Security'!$E$4:$E$10,MATCH($A10,'Vendor &amp; Security'!$A$4:$A$10,0)),'Reference Lists'!$B$4:$B$7,0),MATCH(INDEX('Data &amp; Privacy'!$D$4:$D$10,MATCH($A10,'Data &amp; Privacy'!$A$4:$A$10,0)),'Reference Lists'!$B$4:$B$7,0),MATCH(INDEX('Legal &amp; Compliance'!$D$4:$D$10,MATCH($A10,'Legal &amp; Compliance'!$A$4:$A$10,0)),'Reference Lists'!$B$4:$B$7,0)),"Validated Risk ("&amp;D10&amp;")",""),IF(MATCH(INDEX('Vendor &amp; Security'!$E$4:$E$10,MATCH($A10,'Vendor &amp; Security'!$A$4:$A$10,0)),'Reference Lists'!$B$4:$B$7,0)=MAX(MATCH(D10,'Reference Lists'!$B$4:$B$7,0),MATCH(INDEX('Vendor &amp; Security'!$E$4:$E$10,MATCH($A10,'Vendor &amp; Security'!$A$4:$A$10,0)),'Reference Lists'!$B$4:$B$7,0),MATCH(INDEX('Data &amp; Privacy'!$D$4:$D$10,MATCH($A10,'Data &amp; Privacy'!$A$4:$A$10,0)),'Reference Lists'!$B$4:$B$7,0),MATCH(INDEX('Legal &amp; Compliance'!$D$4:$D$10,MATCH($A10,'Legal &amp; Compliance'!$A$4:$A$10,0)),'Reference Lists'!$B$4:$B$7,0)),"Vendor ("&amp;INDEX('Vendor &amp; Security'!$E$4:$E$10,MATCH($A10,'Vendor &amp; Security'!$A$4:$A$10,0))&amp;")",""),IF(MATCH(INDEX('Data &amp; Privacy'!$D$4:$D$10,MATCH($A10,'Data &amp; Privacy'!$A$4:$A$10,0)),'Reference Lists'!$B$4:$B$7,0)=MAX(MATCH(D10,'Reference Lists'!$B$4:$B$7,0),MATCH(INDEX('Vendor &amp; Security'!$E$4:$E$10,MATCH($A10,'Vendor &amp; Security'!$A$4:$A$10,0)),'Reference Lists'!$B$4:$B$7,0),MATCH(INDEX('Data &amp; Privacy'!$D$4:$D$10,MATCH($A10,'Data &amp; Privacy'!$A$4:$A$10,0)),'Reference Lists'!$B$4:$B$7,0),MATCH(INDEX('Legal &amp; Compliance'!$D$4:$D$10,MATCH($A10,'Legal &amp; Compliance'!$A$4:$A$10,0)),'Reference Lists'!$B$4:$B$7,0)),"Privacy ("&amp;INDEX('Data &amp; Privacy'!$D$4:$D$10,MATCH($A10,'Data &amp; Privacy'!$A$4:$A$10,0))&amp;")",""),IF(MATCH(INDEX('Legal &amp; Compliance'!$D$4:$D$10,MATCH($A10,'Legal &amp; Compliance'!$A$4:$A$10,0)),'Reference Lists'!$B$4:$B$7,0)=MAX(MATCH(D10,'Reference Lists'!$B$4:$B$7,0),MATCH(INDEX('Vendor &amp; Security'!$E$4:$E$10,MATCH($A10,'Vendor &amp; Security'!$A$4:$A$10,0)),'Reference Lists'!$B$4:$B$7,0),MATCH(INDEX('Data &amp; Privacy'!$D$4:$D$10,MATCH($A10,'Data &amp; Privacy'!$A$4:$A$10,0)),'Reference Lists'!$B$4:$B$7,0),MATCH(INDEX('Legal &amp; Compliance'!$D$4:$D$10,MATCH($A10,'Legal &amp; Compliance'!$A$4:$A$10,0)),'Reference Lists'!$B$4:$B$7,0)),"Legal ("&amp;INDEX('Legal &amp; Compliance'!$D$4:$D$10,MATCH($A10,'Legal &amp; Compliance'!$A$4:$A$10,0))&amp;")","")))</f>
        <v>Validated Risk (Critical)</v>
      </c>
      <c r="H10" s="2" t="s">
        <v>241</v>
      </c>
      <c r="I10" s="2" t="s">
        <v>248</v>
      </c>
      <c r="J10" s="2" t="s">
        <v>381</v>
      </c>
      <c r="K10" s="2" t="s">
        <v>375</v>
      </c>
      <c r="L10" s="2" t="str">
        <f t="shared" si="1"/>
        <v>Yes</v>
      </c>
      <c r="M10" s="2" t="str">
        <f t="shared" si="2"/>
        <v>Yes</v>
      </c>
      <c r="N10" s="2" t="str">
        <f>IFERROR(INDEX('AI Inventory'!$T$5:$T$11,MATCH(A10,'AI Inventory'!$A$5:$A$11,0)),"")</f>
        <v>P2</v>
      </c>
      <c r="O10" s="2" t="str">
        <f>IFERROR(INDEX('Risk &amp; Harm Assessment'!$W$5:$W$11,MATCH(A10,'Risk &amp; Harm Assessment'!$A$5:$A$11,0)),"")</f>
        <v>Data leakage and disclosure, Prompt injection and adversarial input, Hallucination and incorrect output, Unauthorized data retention, Model drift and degradation, Overreliance and automation bias, Third-party and value chain risk, Information security risk, Regulatory and legal risk</v>
      </c>
      <c r="P10" s="2">
        <f>IFERROR(INDEX('Risk &amp; Harm Assessment'!$X$5:$X$11,MATCH(A10,'Risk &amp; Harm Assessment'!$A$5:$A$11,0)),"")</f>
        <v>9</v>
      </c>
      <c r="Q10" s="2" t="str">
        <f>IFERROR(INDEX('Risk &amp; Harm Assessment'!$Y$5:$Y$11,MATCH(A10,'Risk &amp; Harm Assessment'!$A$5:$A$11,0)),"")</f>
        <v>Organizational harm, Safety harm, Regulatory harm, Confidentiality harm, Information integrity harm</v>
      </c>
      <c r="R10" s="2">
        <f>IFERROR(INDEX('Risk &amp; Harm Assessment'!$Z$5:$Z$11,MATCH(A10,'Risk &amp; Harm Assessment'!$A$5:$A$11,0)),"")</f>
        <v>5</v>
      </c>
      <c r="S10" s="2" t="str">
        <f>_xlfn.TEXTJOIN(", ",TRUE,IF(INDEX('Risk &amp; Harm Assessment'!$C$5:$C$11,MATCH($A10,'Risk &amp; Harm Assessment'!$A$5:$A$11,0))="Yes",INDEX('Reference Lists'!$M$4:$M$16,1),""),IF(INDEX('Risk &amp; Harm Assessment'!$D$5:$D$11,MATCH($A10,'Risk &amp; Harm Assessment'!$A$5:$A$11,0))="Yes",INDEX('Reference Lists'!$M$4:$M$16,2),""),IF(INDEX('Risk &amp; Harm Assessment'!$E$5:$E$11,MATCH($A10,'Risk &amp; Harm Assessment'!$A$5:$A$11,0))="Yes",INDEX('Reference Lists'!$M$4:$M$16,3),""),IF(INDEX('Risk &amp; Harm Assessment'!$F$5:$F$11,MATCH($A10,'Risk &amp; Harm Assessment'!$A$5:$A$11,0))="Yes",INDEX('Reference Lists'!$M$4:$M$16,4),""),IF(INDEX('Risk &amp; Harm Assessment'!$G$5:$G$11,MATCH($A10,'Risk &amp; Harm Assessment'!$A$5:$A$11,0))="Yes",INDEX('Reference Lists'!$M$4:$M$16,5),""),IF(INDEX('Risk &amp; Harm Assessment'!$H$5:$H$11,MATCH($A10,'Risk &amp; Harm Assessment'!$A$5:$A$11,0))="Yes",INDEX('Reference Lists'!$M$4:$M$16,6),""),IF(INDEX('Risk &amp; Harm Assessment'!$I$5:$I$11,MATCH($A10,'Risk &amp; Harm Assessment'!$A$5:$A$11,0))="Yes",INDEX('Reference Lists'!$M$4:$M$16,7),""),IF(INDEX('Risk &amp; Harm Assessment'!$J$5:$J$11,MATCH($A10,'Risk &amp; Harm Assessment'!$A$5:$A$11,0))="Yes",INDEX('Reference Lists'!$M$4:$M$16,8),""),IF(INDEX('Risk &amp; Harm Assessment'!$K$5:$K$11,MATCH($A10,'Risk &amp; Harm Assessment'!$A$5:$A$11,0))="Yes",INDEX('Reference Lists'!$M$4:$M$16,9),""),IF(INDEX('Risk &amp; Harm Assessment'!$L$5:$L$11,MATCH($A10,'Risk &amp; Harm Assessment'!$A$5:$A$11,0))="Yes",INDEX('Reference Lists'!$M$4:$M$16,10),""),IF(INDEX('Risk &amp; Harm Assessment'!$M$5:$M$11,MATCH($A10,'Risk &amp; Harm Assessment'!$A$5:$A$11,0))="Yes",INDEX('Reference Lists'!$M$4:$M$16,11),""),IF(INDEX('Risk &amp; Harm Assessment'!$N$5:$N$11,MATCH($A10,'Risk &amp; Harm Assessment'!$A$5:$A$11,0))="Yes",INDEX('Reference Lists'!$M$4:$M$16,12),""),IF(INDEX('Risk &amp; Harm Assessment'!$O$5:$O$11,MATCH($A10,'Risk &amp; Harm Assessment'!$A$5:$A$11,0))="Yes",INDEX('Reference Lists'!$M$4:$M$16,13),""))</f>
        <v>Data flow, classification, retention and deletion terms, Guardrails, abuse testing, monitoring, Validation process, user guidance, review requirements, Contract terms, DPA, vendor documentation, Change notification, monitoring approach, review cadence, Human oversight model, training, disclaimers, ITDRA, SOC 2 or ISO evidence, subprocessor review, Architecture review, MFA, RBAC, logging, patching, Legal and Compliance review, regulatory mapping</v>
      </c>
    </row>
  </sheetData>
  <mergeCells count="2">
    <mergeCell ref="A2:S2"/>
    <mergeCell ref="A1:S1"/>
  </mergeCells>
  <conditionalFormatting sqref="F4:F10">
    <cfRule type="cellIs" dxfId="8" priority="1" operator="equal">
      <formula>"High"</formula>
    </cfRule>
    <cfRule type="cellIs" dxfId="7" priority="2" operator="equal">
      <formula>"Critical"</formula>
    </cfRule>
    <cfRule type="cellIs" dxfId="6" priority="3" operator="equal">
      <formula>"Low"</formula>
    </cfRule>
  </conditionalFormatting>
  <pageMargins left="0.75" right="0.75" top="1" bottom="1" header="0.5" footer="0.5"/>
  <pageSetup fitToHeight="0"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1"/>
  <sheetViews>
    <sheetView zoomScale="125" workbookViewId="0">
      <selection activeCell="A5" sqref="A5:B11"/>
    </sheetView>
  </sheetViews>
  <sheetFormatPr baseColWidth="10" defaultColWidth="8.83203125" defaultRowHeight="15" x14ac:dyDescent="0.2"/>
  <cols>
    <col min="1" max="1" width="10" customWidth="1"/>
    <col min="2" max="2" width="20" customWidth="1"/>
    <col min="3" max="15" width="15" customWidth="1"/>
    <col min="16" max="21" width="16" customWidth="1"/>
    <col min="22" max="22" width="40" customWidth="1"/>
    <col min="23" max="23" width="46" customWidth="1"/>
    <col min="24" max="24" width="12" customWidth="1"/>
    <col min="25" max="25" width="40" customWidth="1"/>
    <col min="26" max="26" width="12" customWidth="1"/>
  </cols>
  <sheetData>
    <row r="1" spans="1:26" ht="26" customHeight="1" x14ac:dyDescent="0.2">
      <c r="A1" s="9" t="s">
        <v>382</v>
      </c>
      <c r="B1" s="10"/>
      <c r="C1" s="10"/>
      <c r="D1" s="10"/>
      <c r="E1" s="10"/>
      <c r="F1" s="10"/>
      <c r="G1" s="10"/>
      <c r="H1" s="10"/>
      <c r="I1" s="10"/>
      <c r="J1" s="10"/>
      <c r="K1" s="10"/>
      <c r="L1" s="10"/>
      <c r="M1" s="10"/>
      <c r="N1" s="10"/>
      <c r="O1" s="10"/>
      <c r="P1" s="10"/>
      <c r="Q1" s="10"/>
      <c r="R1" s="10"/>
      <c r="S1" s="10"/>
      <c r="T1" s="10"/>
      <c r="U1" s="10"/>
      <c r="V1" s="10"/>
      <c r="W1" s="10"/>
      <c r="X1" s="10"/>
      <c r="Y1" s="10"/>
      <c r="Z1" s="10"/>
    </row>
    <row r="2" spans="1:26" x14ac:dyDescent="0.2">
      <c r="A2" s="12" t="s">
        <v>383</v>
      </c>
      <c r="B2" s="10"/>
      <c r="C2" s="10"/>
      <c r="D2" s="10"/>
      <c r="E2" s="10"/>
      <c r="F2" s="10"/>
      <c r="G2" s="10"/>
      <c r="H2" s="10"/>
      <c r="I2" s="10"/>
      <c r="J2" s="10"/>
      <c r="K2" s="10"/>
      <c r="L2" s="10"/>
      <c r="M2" s="10"/>
      <c r="N2" s="10"/>
      <c r="O2" s="10"/>
      <c r="P2" s="10"/>
      <c r="Q2" s="10"/>
      <c r="R2" s="10"/>
      <c r="S2" s="10"/>
      <c r="T2" s="10"/>
      <c r="U2" s="10"/>
      <c r="V2" s="10"/>
      <c r="W2" s="10"/>
      <c r="X2" s="10"/>
      <c r="Y2" s="10"/>
      <c r="Z2" s="10"/>
    </row>
    <row r="3" spans="1:26" x14ac:dyDescent="0.2">
      <c r="A3" s="11" t="s">
        <v>254</v>
      </c>
      <c r="B3" s="10"/>
      <c r="C3" s="10"/>
      <c r="D3" s="10"/>
      <c r="E3" s="10"/>
      <c r="F3" s="10"/>
      <c r="G3" s="10"/>
      <c r="H3" s="10"/>
      <c r="I3" s="10"/>
      <c r="J3" s="10"/>
      <c r="K3" s="10"/>
      <c r="L3" s="10"/>
      <c r="M3" s="10"/>
      <c r="N3" s="10"/>
      <c r="O3" s="10"/>
      <c r="P3" s="10"/>
      <c r="Q3" s="10"/>
      <c r="R3" s="10"/>
      <c r="S3" s="10"/>
      <c r="T3" s="10"/>
      <c r="U3" s="10"/>
      <c r="V3" s="10"/>
      <c r="W3" s="10"/>
      <c r="X3" s="10"/>
      <c r="Y3" s="10"/>
      <c r="Z3" s="10"/>
    </row>
    <row r="4" spans="1:26" ht="30" customHeight="1" x14ac:dyDescent="0.2">
      <c r="A4" s="1" t="s">
        <v>255</v>
      </c>
      <c r="B4" s="1" t="s">
        <v>257</v>
      </c>
      <c r="C4" s="1" t="s">
        <v>232</v>
      </c>
      <c r="D4" s="1" t="s">
        <v>233</v>
      </c>
      <c r="E4" s="1" t="s">
        <v>234</v>
      </c>
      <c r="F4" s="1" t="s">
        <v>235</v>
      </c>
      <c r="G4" s="1" t="s">
        <v>236</v>
      </c>
      <c r="H4" s="1" t="s">
        <v>237</v>
      </c>
      <c r="I4" s="1" t="s">
        <v>238</v>
      </c>
      <c r="J4" s="1" t="s">
        <v>239</v>
      </c>
      <c r="K4" s="1" t="s">
        <v>240</v>
      </c>
      <c r="L4" s="1" t="s">
        <v>241</v>
      </c>
      <c r="M4" s="1" t="s">
        <v>242</v>
      </c>
      <c r="N4" s="1" t="s">
        <v>243</v>
      </c>
      <c r="O4" s="1" t="s">
        <v>244</v>
      </c>
      <c r="P4" s="1" t="s">
        <v>384</v>
      </c>
      <c r="Q4" s="1" t="s">
        <v>247</v>
      </c>
      <c r="R4" s="1" t="s">
        <v>248</v>
      </c>
      <c r="S4" s="1" t="s">
        <v>249</v>
      </c>
      <c r="T4" s="1" t="s">
        <v>250</v>
      </c>
      <c r="U4" s="1" t="s">
        <v>251</v>
      </c>
      <c r="V4" s="1" t="s">
        <v>274</v>
      </c>
      <c r="W4" s="1" t="s">
        <v>369</v>
      </c>
      <c r="X4" s="1" t="s">
        <v>370</v>
      </c>
      <c r="Y4" s="1" t="s">
        <v>371</v>
      </c>
      <c r="Z4" s="1" t="s">
        <v>372</v>
      </c>
    </row>
    <row r="5" spans="1:26" ht="96" customHeight="1" x14ac:dyDescent="0.2">
      <c r="A5" s="2" t="str">
        <f>INDEX('AI Inventory'!$A$5:$A$11,1)</f>
        <v>AI-001</v>
      </c>
      <c r="B5" s="2" t="str">
        <f>INDEX('AI Inventory'!$C$5:$C$11,1)</f>
        <v>Copilot</v>
      </c>
      <c r="C5" s="2" t="s">
        <v>282</v>
      </c>
      <c r="D5" s="2" t="s">
        <v>282</v>
      </c>
      <c r="E5" s="2" t="s">
        <v>282</v>
      </c>
      <c r="F5" s="2" t="s">
        <v>282</v>
      </c>
      <c r="G5" s="2" t="s">
        <v>282</v>
      </c>
      <c r="H5" s="2" t="s">
        <v>292</v>
      </c>
      <c r="I5" s="2" t="s">
        <v>292</v>
      </c>
      <c r="J5" s="2" t="s">
        <v>282</v>
      </c>
      <c r="K5" s="2" t="s">
        <v>282</v>
      </c>
      <c r="L5" s="2" t="s">
        <v>282</v>
      </c>
      <c r="M5" s="2" t="s">
        <v>282</v>
      </c>
      <c r="N5" s="2" t="s">
        <v>282</v>
      </c>
      <c r="O5" s="2" t="s">
        <v>282</v>
      </c>
      <c r="P5" s="2" t="s">
        <v>282</v>
      </c>
      <c r="Q5" s="2" t="s">
        <v>282</v>
      </c>
      <c r="R5" s="2" t="s">
        <v>292</v>
      </c>
      <c r="S5" s="2" t="s">
        <v>282</v>
      </c>
      <c r="T5" s="2" t="s">
        <v>282</v>
      </c>
      <c r="U5" s="2" t="s">
        <v>282</v>
      </c>
      <c r="V5" s="2" t="s">
        <v>385</v>
      </c>
      <c r="W5" s="2" t="str">
        <f t="shared" ref="W5:W11" si="0">_xlfn.TEXTJOIN(", ",TRUE,IF(C5="Yes","Data leakage and disclosure",""),IF(D5="Yes","Prompt injection and adversarial input",""),IF(E5="Yes","Hallucination and incorrect output",""),IF(F5="Yes","Unauthorized data retention",""),IF(G5="Yes","Model drift and degradation",""),IF(H5="Yes","Data poisoning",""),IF(I5="Yes","Model theft or extraction",""),IF(J5="Yes","Overreliance and automation bias",""),IF(K5="Yes","Bias and harmful output",""),IF(L5="Yes","Third-party and value chain risk",""),IF(M5="Yes","Information security risk",""),IF(N5="Yes","Privacy risk",""),IF(O5="Yes","Regulatory and legal risk",""))</f>
        <v>Data leakage and disclosure, Prompt injection and adversarial input, Hallucination and incorrect output, Unauthorized data retention, Model drift and degradation, Overreliance and automation bias, Bias and harmful output, Third-party and value chain risk, Information security risk, Privacy risk, Regulatory and legal risk</v>
      </c>
      <c r="X5" s="2">
        <f t="shared" ref="X5:X11" si="1">COUNTIF(C5:O5,"Yes")</f>
        <v>11</v>
      </c>
      <c r="Y5" s="2" t="str">
        <f t="shared" ref="Y5:Y11" si="2">_xlfn.TEXTJOIN(", ",TRUE,IF(P5="Yes","Individual harm",""),IF(Q5="Yes","Organizational harm",""),IF(R5="Yes","Safety harm",""),IF(S5="Yes","Regulatory harm",""),IF(T5="Yes","Confidentiality harm",""),IF(U5="Yes","Information integrity harm",""))</f>
        <v>Individual harm, Organizational harm, Regulatory harm, Confidentiality harm, Information integrity harm</v>
      </c>
      <c r="Z5" s="2">
        <f t="shared" ref="Z5:Z11" si="3">COUNTIF(P5:U5,"Yes")</f>
        <v>5</v>
      </c>
    </row>
    <row r="6" spans="1:26" ht="96" customHeight="1" x14ac:dyDescent="0.2">
      <c r="A6" s="2" t="str">
        <f>INDEX('AI Inventory'!$A$5:$A$11,2)</f>
        <v>AI-002</v>
      </c>
      <c r="B6" s="2" t="str">
        <f>INDEX('AI Inventory'!$C$5:$C$11,2)</f>
        <v>Claude AI</v>
      </c>
      <c r="C6" s="2" t="s">
        <v>282</v>
      </c>
      <c r="D6" s="2" t="s">
        <v>282</v>
      </c>
      <c r="E6" s="2" t="s">
        <v>282</v>
      </c>
      <c r="F6" s="2" t="s">
        <v>282</v>
      </c>
      <c r="G6" s="2" t="s">
        <v>282</v>
      </c>
      <c r="H6" s="2" t="s">
        <v>292</v>
      </c>
      <c r="I6" s="2" t="s">
        <v>292</v>
      </c>
      <c r="J6" s="2" t="s">
        <v>282</v>
      </c>
      <c r="K6" s="2" t="s">
        <v>282</v>
      </c>
      <c r="L6" s="2" t="s">
        <v>282</v>
      </c>
      <c r="M6" s="2" t="s">
        <v>282</v>
      </c>
      <c r="N6" s="2" t="s">
        <v>292</v>
      </c>
      <c r="O6" s="2" t="s">
        <v>292</v>
      </c>
      <c r="P6" s="2" t="s">
        <v>292</v>
      </c>
      <c r="Q6" s="2" t="s">
        <v>282</v>
      </c>
      <c r="R6" s="2" t="s">
        <v>292</v>
      </c>
      <c r="S6" s="2" t="s">
        <v>292</v>
      </c>
      <c r="T6" s="2" t="s">
        <v>282</v>
      </c>
      <c r="U6" s="2" t="s">
        <v>282</v>
      </c>
      <c r="V6" s="2" t="s">
        <v>386</v>
      </c>
      <c r="W6" s="2" t="str">
        <f t="shared" si="0"/>
        <v>Data leakage and disclosure, Prompt injection and adversarial input, Hallucination and incorrect output, Unauthorized data retention, Model drift and degradation, Overreliance and automation bias, Bias and harmful output, Third-party and value chain risk, Information security risk</v>
      </c>
      <c r="X6" s="2">
        <f t="shared" si="1"/>
        <v>9</v>
      </c>
      <c r="Y6" s="2" t="str">
        <f t="shared" si="2"/>
        <v>Organizational harm, Confidentiality harm, Information integrity harm</v>
      </c>
      <c r="Z6" s="2">
        <f t="shared" si="3"/>
        <v>3</v>
      </c>
    </row>
    <row r="7" spans="1:26" ht="80" customHeight="1" x14ac:dyDescent="0.2">
      <c r="A7" s="2" t="str">
        <f>INDEX('AI Inventory'!$A$5:$A$11,3)</f>
        <v>AI-003</v>
      </c>
      <c r="B7" s="2" t="str">
        <f>INDEX('AI Inventory'!$C$5:$C$11,3)</f>
        <v>JMP Learnbot</v>
      </c>
      <c r="C7" s="2" t="s">
        <v>282</v>
      </c>
      <c r="D7" s="2" t="s">
        <v>282</v>
      </c>
      <c r="E7" s="2" t="s">
        <v>282</v>
      </c>
      <c r="F7" s="2" t="s">
        <v>282</v>
      </c>
      <c r="G7" s="2" t="s">
        <v>282</v>
      </c>
      <c r="H7" s="2" t="s">
        <v>292</v>
      </c>
      <c r="I7" s="2" t="s">
        <v>292</v>
      </c>
      <c r="J7" s="2" t="s">
        <v>282</v>
      </c>
      <c r="K7" s="2" t="s">
        <v>292</v>
      </c>
      <c r="L7" s="2" t="s">
        <v>282</v>
      </c>
      <c r="M7" s="2" t="s">
        <v>282</v>
      </c>
      <c r="N7" s="2" t="s">
        <v>292</v>
      </c>
      <c r="O7" s="2" t="s">
        <v>292</v>
      </c>
      <c r="P7" s="2" t="s">
        <v>292</v>
      </c>
      <c r="Q7" s="2" t="s">
        <v>282</v>
      </c>
      <c r="R7" s="2" t="s">
        <v>292</v>
      </c>
      <c r="S7" s="2" t="s">
        <v>292</v>
      </c>
      <c r="T7" s="2" t="s">
        <v>282</v>
      </c>
      <c r="U7" s="2" t="s">
        <v>282</v>
      </c>
      <c r="V7" s="2" t="s">
        <v>387</v>
      </c>
      <c r="W7" s="2" t="str">
        <f t="shared" si="0"/>
        <v>Data leakage and disclosure, Prompt injection and adversarial input, Hallucination and incorrect output, Unauthorized data retention, Model drift and degradation, Overreliance and automation bias, Third-party and value chain risk, Information security risk</v>
      </c>
      <c r="X7" s="2">
        <f t="shared" si="1"/>
        <v>8</v>
      </c>
      <c r="Y7" s="2" t="str">
        <f t="shared" si="2"/>
        <v>Organizational harm, Confidentiality harm, Information integrity harm</v>
      </c>
      <c r="Z7" s="2">
        <f t="shared" si="3"/>
        <v>3</v>
      </c>
    </row>
    <row r="8" spans="1:26" ht="80" customHeight="1" x14ac:dyDescent="0.2">
      <c r="A8" s="2" t="str">
        <f>INDEX('AI Inventory'!$A$5:$A$11,4)</f>
        <v>AI-004</v>
      </c>
      <c r="B8" s="2" t="str">
        <f>INDEX('AI Inventory'!$C$5:$C$11,4)</f>
        <v>Synthesia</v>
      </c>
      <c r="C8" s="2" t="s">
        <v>282</v>
      </c>
      <c r="D8" s="2" t="s">
        <v>292</v>
      </c>
      <c r="E8" s="2" t="s">
        <v>282</v>
      </c>
      <c r="F8" s="2" t="s">
        <v>282</v>
      </c>
      <c r="G8" s="2" t="s">
        <v>292</v>
      </c>
      <c r="H8" s="2" t="s">
        <v>292</v>
      </c>
      <c r="I8" s="2" t="s">
        <v>292</v>
      </c>
      <c r="J8" s="2" t="s">
        <v>282</v>
      </c>
      <c r="K8" s="2" t="s">
        <v>282</v>
      </c>
      <c r="L8" s="2" t="s">
        <v>282</v>
      </c>
      <c r="M8" s="2" t="s">
        <v>282</v>
      </c>
      <c r="N8" s="2" t="s">
        <v>282</v>
      </c>
      <c r="O8" s="2" t="s">
        <v>282</v>
      </c>
      <c r="P8" s="2" t="s">
        <v>282</v>
      </c>
      <c r="Q8" s="2" t="s">
        <v>282</v>
      </c>
      <c r="R8" s="2" t="s">
        <v>292</v>
      </c>
      <c r="S8" s="2" t="s">
        <v>282</v>
      </c>
      <c r="T8" s="2" t="s">
        <v>282</v>
      </c>
      <c r="U8" s="2" t="s">
        <v>282</v>
      </c>
      <c r="V8" s="2" t="s">
        <v>388</v>
      </c>
      <c r="W8" s="2" t="str">
        <f t="shared" si="0"/>
        <v>Data leakage and disclosure, Hallucination and incorrect output, Unauthorized data retention, Overreliance and automation bias, Bias and harmful output, Third-party and value chain risk, Information security risk, Privacy risk, Regulatory and legal risk</v>
      </c>
      <c r="X8" s="2">
        <f t="shared" si="1"/>
        <v>9</v>
      </c>
      <c r="Y8" s="2" t="str">
        <f t="shared" si="2"/>
        <v>Individual harm, Organizational harm, Regulatory harm, Confidentiality harm, Information integrity harm</v>
      </c>
      <c r="Z8" s="2">
        <f t="shared" si="3"/>
        <v>5</v>
      </c>
    </row>
    <row r="9" spans="1:26" ht="96" customHeight="1" x14ac:dyDescent="0.2">
      <c r="A9" s="2" t="str">
        <f>INDEX('AI Inventory'!$A$5:$A$11,5)</f>
        <v>AI-005</v>
      </c>
      <c r="B9" s="2" t="str">
        <f>INDEX('AI Inventory'!$C$5:$C$11,5)</f>
        <v>Levy AI</v>
      </c>
      <c r="C9" s="2" t="s">
        <v>282</v>
      </c>
      <c r="D9" s="2" t="s">
        <v>282</v>
      </c>
      <c r="E9" s="2" t="s">
        <v>282</v>
      </c>
      <c r="F9" s="2" t="s">
        <v>282</v>
      </c>
      <c r="G9" s="2" t="s">
        <v>282</v>
      </c>
      <c r="H9" s="2" t="s">
        <v>282</v>
      </c>
      <c r="I9" s="2" t="s">
        <v>292</v>
      </c>
      <c r="J9" s="2" t="s">
        <v>282</v>
      </c>
      <c r="K9" s="2" t="s">
        <v>292</v>
      </c>
      <c r="L9" s="2" t="s">
        <v>282</v>
      </c>
      <c r="M9" s="2" t="s">
        <v>282</v>
      </c>
      <c r="N9" s="2" t="s">
        <v>282</v>
      </c>
      <c r="O9" s="2" t="s">
        <v>282</v>
      </c>
      <c r="P9" s="2" t="s">
        <v>282</v>
      </c>
      <c r="Q9" s="2" t="s">
        <v>282</v>
      </c>
      <c r="R9" s="2" t="s">
        <v>292</v>
      </c>
      <c r="S9" s="2" t="s">
        <v>282</v>
      </c>
      <c r="T9" s="2" t="s">
        <v>282</v>
      </c>
      <c r="U9" s="2" t="s">
        <v>282</v>
      </c>
      <c r="V9" s="2" t="s">
        <v>389</v>
      </c>
      <c r="W9" s="2" t="str">
        <f t="shared" si="0"/>
        <v>Data leakage and disclosure, Prompt injection and adversarial input, Hallucination and incorrect output, Unauthorized data retention, Model drift and degradation, Data poisoning, Overreliance and automation bias, Third-party and value chain risk, Information security risk, Privacy risk, Regulatory and legal risk</v>
      </c>
      <c r="X9" s="2">
        <f t="shared" si="1"/>
        <v>11</v>
      </c>
      <c r="Y9" s="2" t="str">
        <f t="shared" si="2"/>
        <v>Individual harm, Organizational harm, Regulatory harm, Confidentiality harm, Information integrity harm</v>
      </c>
      <c r="Z9" s="2">
        <f t="shared" si="3"/>
        <v>5</v>
      </c>
    </row>
    <row r="10" spans="1:26" ht="80" customHeight="1" x14ac:dyDescent="0.2">
      <c r="A10" s="2" t="str">
        <f>INDEX('AI Inventory'!$A$5:$A$11,6)</f>
        <v>AI-006</v>
      </c>
      <c r="B10" s="2" t="str">
        <f>INDEX('AI Inventory'!$C$5:$C$11,6)</f>
        <v>Startreck.AI</v>
      </c>
      <c r="C10" s="2" t="s">
        <v>282</v>
      </c>
      <c r="D10" s="2" t="s">
        <v>292</v>
      </c>
      <c r="E10" s="2" t="s">
        <v>282</v>
      </c>
      <c r="F10" s="2" t="s">
        <v>282</v>
      </c>
      <c r="G10" s="2" t="s">
        <v>292</v>
      </c>
      <c r="H10" s="2" t="s">
        <v>292</v>
      </c>
      <c r="I10" s="2" t="s">
        <v>292</v>
      </c>
      <c r="J10" s="2" t="s">
        <v>282</v>
      </c>
      <c r="K10" s="2" t="s">
        <v>282</v>
      </c>
      <c r="L10" s="2" t="s">
        <v>282</v>
      </c>
      <c r="M10" s="2" t="s">
        <v>282</v>
      </c>
      <c r="N10" s="2" t="s">
        <v>292</v>
      </c>
      <c r="O10" s="2" t="s">
        <v>282</v>
      </c>
      <c r="P10" s="2" t="s">
        <v>282</v>
      </c>
      <c r="Q10" s="2" t="s">
        <v>282</v>
      </c>
      <c r="R10" s="2" t="s">
        <v>292</v>
      </c>
      <c r="S10" s="2" t="s">
        <v>282</v>
      </c>
      <c r="T10" s="2" t="s">
        <v>282</v>
      </c>
      <c r="U10" s="2" t="s">
        <v>282</v>
      </c>
      <c r="V10" s="2" t="s">
        <v>390</v>
      </c>
      <c r="W10" s="2" t="str">
        <f t="shared" si="0"/>
        <v>Data leakage and disclosure, Hallucination and incorrect output, Unauthorized data retention, Overreliance and automation bias, Bias and harmful output, Third-party and value chain risk, Information security risk, Regulatory and legal risk</v>
      </c>
      <c r="X10" s="2">
        <f t="shared" si="1"/>
        <v>8</v>
      </c>
      <c r="Y10" s="2" t="str">
        <f t="shared" si="2"/>
        <v>Individual harm, Organizational harm, Regulatory harm, Confidentiality harm, Information integrity harm</v>
      </c>
      <c r="Z10" s="2">
        <f t="shared" si="3"/>
        <v>5</v>
      </c>
    </row>
    <row r="11" spans="1:26" ht="96" customHeight="1" x14ac:dyDescent="0.2">
      <c r="A11" s="2" t="str">
        <f>INDEX('AI Inventory'!$A$5:$A$11,7)</f>
        <v>AI-007</v>
      </c>
      <c r="B11" s="2" t="str">
        <f>INDEX('AI Inventory'!$C$5:$C$11,7)</f>
        <v>Potential Hazard Navigator</v>
      </c>
      <c r="C11" s="2" t="s">
        <v>282</v>
      </c>
      <c r="D11" s="2" t="s">
        <v>282</v>
      </c>
      <c r="E11" s="2" t="s">
        <v>282</v>
      </c>
      <c r="F11" s="2" t="s">
        <v>282</v>
      </c>
      <c r="G11" s="2" t="s">
        <v>282</v>
      </c>
      <c r="H11" s="2" t="s">
        <v>292</v>
      </c>
      <c r="I11" s="2" t="s">
        <v>292</v>
      </c>
      <c r="J11" s="2" t="s">
        <v>282</v>
      </c>
      <c r="K11" s="2" t="s">
        <v>292</v>
      </c>
      <c r="L11" s="2" t="s">
        <v>282</v>
      </c>
      <c r="M11" s="2" t="s">
        <v>282</v>
      </c>
      <c r="N11" s="2" t="s">
        <v>292</v>
      </c>
      <c r="O11" s="2" t="s">
        <v>282</v>
      </c>
      <c r="P11" s="2" t="s">
        <v>292</v>
      </c>
      <c r="Q11" s="2" t="s">
        <v>282</v>
      </c>
      <c r="R11" s="2" t="s">
        <v>282</v>
      </c>
      <c r="S11" s="2" t="s">
        <v>282</v>
      </c>
      <c r="T11" s="2" t="s">
        <v>282</v>
      </c>
      <c r="U11" s="2" t="s">
        <v>282</v>
      </c>
      <c r="V11" s="2" t="s">
        <v>391</v>
      </c>
      <c r="W11" s="2" t="str">
        <f t="shared" si="0"/>
        <v>Data leakage and disclosure, Prompt injection and adversarial input, Hallucination and incorrect output, Unauthorized data retention, Model drift and degradation, Overreliance and automation bias, Third-party and value chain risk, Information security risk, Regulatory and legal risk</v>
      </c>
      <c r="X11" s="2">
        <f t="shared" si="1"/>
        <v>9</v>
      </c>
      <c r="Y11" s="2" t="str">
        <f t="shared" si="2"/>
        <v>Organizational harm, Safety harm, Regulatory harm, Confidentiality harm, Information integrity harm</v>
      </c>
      <c r="Z11" s="2">
        <f t="shared" si="3"/>
        <v>5</v>
      </c>
    </row>
  </sheetData>
  <mergeCells count="3">
    <mergeCell ref="A1:Z1"/>
    <mergeCell ref="A3:Z3"/>
    <mergeCell ref="A2:Z2"/>
  </mergeCells>
  <dataValidations count="1">
    <dataValidation type="list" allowBlank="1" sqref="C5:U11" xr:uid="{00000000-0002-0000-0500-000000000000}">
      <formula1>"Yes,No,N/A"</formula1>
    </dataValidation>
  </dataValidation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pageSetUpPr fitToPage="1"/>
  </sheetPr>
  <dimension ref="A1:V200"/>
  <sheetViews>
    <sheetView zoomScale="125" workbookViewId="0">
      <pane xSplit="4" ySplit="3" topLeftCell="L5" activePane="bottomRight" state="frozen"/>
      <selection pane="topRight"/>
      <selection pane="bottomLeft"/>
      <selection pane="bottomRight" activeCell="B10" sqref="B10"/>
    </sheetView>
  </sheetViews>
  <sheetFormatPr baseColWidth="10" defaultColWidth="8.83203125" defaultRowHeight="15" x14ac:dyDescent="0.2"/>
  <cols>
    <col min="1" max="1" width="10" customWidth="1"/>
    <col min="2" max="2" width="20" customWidth="1"/>
    <col min="3" max="3" width="24" customWidth="1"/>
    <col min="4" max="4" width="18" customWidth="1"/>
    <col min="5" max="5" width="46" customWidth="1"/>
    <col min="6" max="6" width="20" customWidth="1"/>
    <col min="7" max="8" width="10" customWidth="1"/>
    <col min="9" max="9" width="14" customWidth="1"/>
    <col min="10" max="10" width="12" customWidth="1"/>
    <col min="11" max="15" width="14" customWidth="1"/>
    <col min="16" max="16" width="18" customWidth="1"/>
    <col min="17" max="17" width="20" customWidth="1"/>
    <col min="18" max="18" width="16" customWidth="1"/>
    <col min="19" max="19" width="18" customWidth="1"/>
    <col min="20" max="21" width="14" customWidth="1"/>
    <col min="22" max="22" width="22" customWidth="1"/>
  </cols>
  <sheetData>
    <row r="1" spans="1:22" ht="26" customHeight="1" x14ac:dyDescent="0.2">
      <c r="A1" s="9" t="s">
        <v>392</v>
      </c>
      <c r="B1" s="10"/>
      <c r="C1" s="10"/>
      <c r="D1" s="10"/>
      <c r="E1" s="10"/>
      <c r="F1" s="10"/>
      <c r="G1" s="10"/>
      <c r="H1" s="10"/>
      <c r="I1" s="10"/>
      <c r="J1" s="10"/>
      <c r="K1" s="10"/>
      <c r="L1" s="10"/>
      <c r="M1" s="10"/>
      <c r="N1" s="10"/>
      <c r="O1" s="10"/>
      <c r="P1" s="10"/>
      <c r="Q1" s="10"/>
      <c r="R1" s="10"/>
      <c r="S1" s="10"/>
      <c r="T1" s="10"/>
      <c r="U1" s="10"/>
      <c r="V1" s="10"/>
    </row>
    <row r="2" spans="1:22" x14ac:dyDescent="0.2">
      <c r="A2" s="11" t="s">
        <v>254</v>
      </c>
      <c r="B2" s="10"/>
      <c r="C2" s="10"/>
      <c r="D2" s="10"/>
      <c r="E2" s="10"/>
      <c r="F2" s="10"/>
      <c r="G2" s="10"/>
      <c r="H2" s="10"/>
      <c r="I2" s="10"/>
      <c r="J2" s="10"/>
      <c r="K2" s="10"/>
      <c r="L2" s="10"/>
      <c r="M2" s="10"/>
      <c r="N2" s="10"/>
      <c r="O2" s="10"/>
      <c r="P2" s="10"/>
      <c r="Q2" s="10"/>
      <c r="R2" s="10"/>
      <c r="S2" s="10"/>
      <c r="T2" s="10"/>
      <c r="U2" s="10"/>
      <c r="V2" s="10"/>
    </row>
    <row r="3" spans="1:22" ht="30" customHeight="1" x14ac:dyDescent="0.2">
      <c r="A3" s="1" t="s">
        <v>255</v>
      </c>
      <c r="B3" s="1" t="s">
        <v>257</v>
      </c>
      <c r="C3" s="1" t="s">
        <v>393</v>
      </c>
      <c r="D3" s="1" t="s">
        <v>394</v>
      </c>
      <c r="E3" s="1" t="s">
        <v>395</v>
      </c>
      <c r="F3" s="1" t="s">
        <v>223</v>
      </c>
      <c r="G3" s="1" t="s">
        <v>224</v>
      </c>
      <c r="H3" s="1" t="s">
        <v>27</v>
      </c>
      <c r="I3" s="1" t="s">
        <v>16</v>
      </c>
      <c r="J3" s="1" t="s">
        <v>69</v>
      </c>
      <c r="K3" s="1" t="s">
        <v>265</v>
      </c>
      <c r="L3" s="1" t="s">
        <v>396</v>
      </c>
      <c r="M3" s="1" t="s">
        <v>397</v>
      </c>
      <c r="N3" s="1" t="s">
        <v>398</v>
      </c>
      <c r="O3" s="1" t="s">
        <v>399</v>
      </c>
      <c r="P3" s="1" t="s">
        <v>400</v>
      </c>
      <c r="Q3" s="1" t="s">
        <v>401</v>
      </c>
      <c r="R3" s="1" t="s">
        <v>402</v>
      </c>
      <c r="S3" s="1" t="s">
        <v>403</v>
      </c>
      <c r="T3" s="1" t="s">
        <v>404</v>
      </c>
      <c r="U3" s="1" t="s">
        <v>405</v>
      </c>
      <c r="V3" s="1" t="s">
        <v>406</v>
      </c>
    </row>
    <row r="4" spans="1:22" ht="32" customHeight="1" x14ac:dyDescent="0.2">
      <c r="A4" s="2" t="str">
        <f>INDEX('AI Inventory'!$A$5:$A$11,1)</f>
        <v>AI-001</v>
      </c>
      <c r="B4" s="2" t="str">
        <f>INDEX('AI Inventory'!$C$5:$C$11,1)</f>
        <v>Copilot</v>
      </c>
      <c r="C4" s="2" t="s">
        <v>407</v>
      </c>
      <c r="D4" s="2" t="str">
        <f t="shared" ref="D4:D18" si="0">IF(C4="Rejected","Critical", IF(OR(J4="Yes", AND(NOT(ISNUMBER(SEARCH("Yes",V4))),I4="Yes",ISNUMBER(SEARCH("Yes",Q4)),COUNTIF(K4:P4,"Yes")&gt;=2)), "Critical", IF(AND(NOT(ISNUMBER(SEARCH("Yes",V4))),ISNUMBER(SEARCH("Yes",Q4)), OR(I4="Yes",COUNTIF(K4:P4,"Yes")&gt;=2)), "High", IF(OR(AND(I4="Yes",ISNUMBER(SEARCH("Yes",V4))), AND(COUNTIF(K4:P4,"Yes")=1,ISNUMBER(SEARCH("Yes",Q4)),NOT(ISNUMBER(SEARCH("Yes",V4)))), AND(I4="Yes",NOT(ISNUMBER(SEARCH("Yes",Q4))))), "Moderate", IF(AND(COUNTIF(K4:P4,"Yes")=0,I4&lt;&gt;"Yes",H4&lt;&gt;"Yes", OR(G4="Yes",NOT(ISNUMBER(SEARCH("Yes",Q4))),ISNUMBER(SEARCH("Yes",V4)))), "Low", "Moderate")))))</f>
        <v>Moderate</v>
      </c>
      <c r="E4" s="2" t="s">
        <v>281</v>
      </c>
      <c r="F4" s="2" t="s">
        <v>16</v>
      </c>
      <c r="G4" s="2" t="str">
        <f t="shared" ref="G4:G10" si="1">IF(F4="Public","Yes","No")</f>
        <v>No</v>
      </c>
      <c r="H4" s="2" t="str">
        <f t="shared" ref="H4:H10" si="2">IF(OR(F4="Internal",F4="Confidential",F4="Sensitive"),"Yes","No")</f>
        <v>Yes</v>
      </c>
      <c r="I4" s="2" t="str">
        <f t="shared" ref="I4:I10" si="3">IF(OR(F4="Confidential",F4="Sensitive"),"Yes","No")</f>
        <v>Yes</v>
      </c>
      <c r="J4" s="2" t="str">
        <f t="shared" ref="J4:J10" si="4">IF(F4="Sensitive","Yes","No")</f>
        <v>No</v>
      </c>
      <c r="K4" s="2" t="s">
        <v>282</v>
      </c>
      <c r="L4" s="2" t="s">
        <v>282</v>
      </c>
      <c r="M4" s="2" t="s">
        <v>282</v>
      </c>
      <c r="N4" s="2" t="s">
        <v>282</v>
      </c>
      <c r="O4" s="2" t="s">
        <v>282</v>
      </c>
      <c r="P4" s="2" t="s">
        <v>282</v>
      </c>
      <c r="Q4" s="2" t="s">
        <v>408</v>
      </c>
      <c r="R4" s="2" t="s">
        <v>409</v>
      </c>
      <c r="S4" s="2" t="s">
        <v>410</v>
      </c>
      <c r="T4" s="2" t="s">
        <v>282</v>
      </c>
      <c r="U4" s="2" t="s">
        <v>282</v>
      </c>
      <c r="V4" s="2" t="s">
        <v>411</v>
      </c>
    </row>
    <row r="5" spans="1:22" ht="48" customHeight="1" x14ac:dyDescent="0.2">
      <c r="A5" s="2" t="str">
        <f>INDEX('AI Inventory'!$A$5:$A$11,2)</f>
        <v>AI-002</v>
      </c>
      <c r="B5" s="2" t="str">
        <f>INDEX('AI Inventory'!$C$5:$C$11,2)</f>
        <v>Claude AI</v>
      </c>
      <c r="C5" s="2" t="s">
        <v>407</v>
      </c>
      <c r="D5" s="2" t="str">
        <f t="shared" si="0"/>
        <v>Moderate</v>
      </c>
      <c r="E5" s="2" t="s">
        <v>290</v>
      </c>
      <c r="F5" s="2" t="s">
        <v>27</v>
      </c>
      <c r="G5" s="2" t="str">
        <f t="shared" si="1"/>
        <v>No</v>
      </c>
      <c r="H5" s="2" t="str">
        <f t="shared" si="2"/>
        <v>Yes</v>
      </c>
      <c r="I5" s="2" t="str">
        <f t="shared" si="3"/>
        <v>No</v>
      </c>
      <c r="J5" s="2" t="str">
        <f t="shared" si="4"/>
        <v>No</v>
      </c>
      <c r="K5" s="2" t="s">
        <v>292</v>
      </c>
      <c r="L5" s="2" t="s">
        <v>282</v>
      </c>
      <c r="M5" s="2" t="s">
        <v>282</v>
      </c>
      <c r="N5" s="2" t="s">
        <v>292</v>
      </c>
      <c r="O5" s="2" t="s">
        <v>292</v>
      </c>
      <c r="P5" s="2" t="s">
        <v>412</v>
      </c>
      <c r="Q5" s="2" t="s">
        <v>413</v>
      </c>
      <c r="R5" s="2" t="s">
        <v>414</v>
      </c>
      <c r="S5" s="2" t="s">
        <v>415</v>
      </c>
      <c r="T5" s="2" t="s">
        <v>282</v>
      </c>
      <c r="U5" s="2" t="s">
        <v>282</v>
      </c>
      <c r="V5" s="2" t="s">
        <v>416</v>
      </c>
    </row>
    <row r="6" spans="1:22" ht="32" customHeight="1" x14ac:dyDescent="0.2">
      <c r="A6" s="2" t="str">
        <f>INDEX('AI Inventory'!$A$5:$A$11,3)</f>
        <v>AI-003</v>
      </c>
      <c r="B6" s="2" t="str">
        <f>INDEX('AI Inventory'!$C$5:$C$11,3)</f>
        <v>JMP Learnbot</v>
      </c>
      <c r="C6" s="2" t="s">
        <v>226</v>
      </c>
      <c r="D6" s="2" t="str">
        <f t="shared" si="0"/>
        <v>Moderate</v>
      </c>
      <c r="E6" s="2" t="s">
        <v>296</v>
      </c>
      <c r="F6" s="2" t="s">
        <v>27</v>
      </c>
      <c r="G6" s="2" t="str">
        <f t="shared" si="1"/>
        <v>No</v>
      </c>
      <c r="H6" s="2" t="str">
        <f t="shared" si="2"/>
        <v>Yes</v>
      </c>
      <c r="I6" s="2" t="str">
        <f t="shared" si="3"/>
        <v>No</v>
      </c>
      <c r="J6" s="2" t="str">
        <f t="shared" si="4"/>
        <v>No</v>
      </c>
      <c r="K6" s="2" t="s">
        <v>292</v>
      </c>
      <c r="L6" s="2" t="s">
        <v>292</v>
      </c>
      <c r="M6" s="2" t="s">
        <v>292</v>
      </c>
      <c r="N6" s="2" t="s">
        <v>292</v>
      </c>
      <c r="O6" s="2" t="s">
        <v>292</v>
      </c>
      <c r="P6" s="2" t="s">
        <v>417</v>
      </c>
      <c r="Q6" s="2" t="s">
        <v>418</v>
      </c>
      <c r="R6" s="2" t="s">
        <v>414</v>
      </c>
      <c r="S6" s="2" t="s">
        <v>419</v>
      </c>
      <c r="T6" s="2" t="s">
        <v>282</v>
      </c>
      <c r="U6" s="2" t="s">
        <v>282</v>
      </c>
      <c r="V6" s="2" t="s">
        <v>420</v>
      </c>
    </row>
    <row r="7" spans="1:22" ht="32" customHeight="1" x14ac:dyDescent="0.2">
      <c r="A7" s="2" t="str">
        <f>INDEX('AI Inventory'!$A$5:$A$11,4)</f>
        <v>AI-004</v>
      </c>
      <c r="B7" s="2" t="str">
        <f>INDEX('AI Inventory'!$C$5:$C$11,4)</f>
        <v>Synthesia</v>
      </c>
      <c r="C7" s="2" t="s">
        <v>407</v>
      </c>
      <c r="D7" s="2" t="str">
        <f t="shared" si="0"/>
        <v>Moderate</v>
      </c>
      <c r="E7" s="2" t="s">
        <v>305</v>
      </c>
      <c r="F7" s="2" t="s">
        <v>27</v>
      </c>
      <c r="G7" s="2" t="str">
        <f t="shared" si="1"/>
        <v>No</v>
      </c>
      <c r="H7" s="2" t="str">
        <f t="shared" si="2"/>
        <v>Yes</v>
      </c>
      <c r="I7" s="2" t="str">
        <f t="shared" si="3"/>
        <v>No</v>
      </c>
      <c r="J7" s="2" t="str">
        <f t="shared" si="4"/>
        <v>No</v>
      </c>
      <c r="K7" s="2" t="s">
        <v>292</v>
      </c>
      <c r="L7" s="2" t="s">
        <v>292</v>
      </c>
      <c r="M7" s="2" t="s">
        <v>292</v>
      </c>
      <c r="N7" s="2" t="s">
        <v>292</v>
      </c>
      <c r="O7" s="2" t="s">
        <v>292</v>
      </c>
      <c r="P7" s="2" t="s">
        <v>421</v>
      </c>
      <c r="Q7" s="2" t="s">
        <v>422</v>
      </c>
      <c r="R7" s="2" t="s">
        <v>423</v>
      </c>
      <c r="S7" s="2" t="s">
        <v>424</v>
      </c>
      <c r="T7" s="2" t="s">
        <v>282</v>
      </c>
      <c r="U7" s="2" t="s">
        <v>282</v>
      </c>
      <c r="V7" s="2" t="s">
        <v>420</v>
      </c>
    </row>
    <row r="8" spans="1:22" ht="32" customHeight="1" x14ac:dyDescent="0.2">
      <c r="A8" s="2" t="str">
        <f>INDEX('AI Inventory'!$A$5:$A$11,5)</f>
        <v>AI-005</v>
      </c>
      <c r="B8" s="2" t="str">
        <f>INDEX('AI Inventory'!$C$5:$C$11,5)</f>
        <v>Levy AI</v>
      </c>
      <c r="C8" s="2" t="s">
        <v>407</v>
      </c>
      <c r="D8" s="2" t="str">
        <f t="shared" si="0"/>
        <v>Critical</v>
      </c>
      <c r="E8" s="2" t="s">
        <v>311</v>
      </c>
      <c r="F8" s="2" t="s">
        <v>16</v>
      </c>
      <c r="G8" s="2" t="str">
        <f t="shared" si="1"/>
        <v>No</v>
      </c>
      <c r="H8" s="2" t="str">
        <f t="shared" si="2"/>
        <v>Yes</v>
      </c>
      <c r="I8" s="2" t="str">
        <f t="shared" si="3"/>
        <v>Yes</v>
      </c>
      <c r="J8" s="2" t="str">
        <f t="shared" si="4"/>
        <v>No</v>
      </c>
      <c r="K8" s="2" t="s">
        <v>282</v>
      </c>
      <c r="L8" s="2" t="s">
        <v>292</v>
      </c>
      <c r="M8" s="2" t="s">
        <v>282</v>
      </c>
      <c r="N8" s="2" t="s">
        <v>282</v>
      </c>
      <c r="O8" s="2" t="s">
        <v>425</v>
      </c>
      <c r="P8" s="2" t="s">
        <v>292</v>
      </c>
      <c r="Q8" s="2" t="s">
        <v>584</v>
      </c>
      <c r="R8" s="2" t="s">
        <v>426</v>
      </c>
      <c r="S8" s="2" t="s">
        <v>424</v>
      </c>
      <c r="T8" s="2" t="s">
        <v>426</v>
      </c>
      <c r="U8" s="2" t="s">
        <v>426</v>
      </c>
      <c r="V8" s="2" t="s">
        <v>420</v>
      </c>
    </row>
    <row r="9" spans="1:22" ht="32" customHeight="1" x14ac:dyDescent="0.2">
      <c r="A9" s="2" t="str">
        <f>INDEX('AI Inventory'!$A$5:$A$11,6)</f>
        <v>AI-006</v>
      </c>
      <c r="B9" s="2" t="str">
        <f>INDEX('AI Inventory'!$C$5:$C$11,6)</f>
        <v>Startreck.AI</v>
      </c>
      <c r="C9" s="2" t="s">
        <v>407</v>
      </c>
      <c r="D9" s="2" t="str">
        <f t="shared" si="0"/>
        <v>Moderate</v>
      </c>
      <c r="E9" s="2" t="s">
        <v>317</v>
      </c>
      <c r="F9" s="2" t="s">
        <v>27</v>
      </c>
      <c r="G9" s="2" t="str">
        <f t="shared" si="1"/>
        <v>No</v>
      </c>
      <c r="H9" s="2" t="str">
        <f t="shared" si="2"/>
        <v>Yes</v>
      </c>
      <c r="I9" s="2" t="str">
        <f t="shared" si="3"/>
        <v>No</v>
      </c>
      <c r="J9" s="2" t="str">
        <f t="shared" si="4"/>
        <v>No</v>
      </c>
      <c r="K9" s="2" t="s">
        <v>292</v>
      </c>
      <c r="L9" s="2" t="s">
        <v>292</v>
      </c>
      <c r="M9" s="2" t="s">
        <v>292</v>
      </c>
      <c r="N9" s="2" t="s">
        <v>292</v>
      </c>
      <c r="O9" s="2" t="s">
        <v>292</v>
      </c>
      <c r="P9" s="2" t="s">
        <v>427</v>
      </c>
      <c r="Q9" s="2" t="s">
        <v>428</v>
      </c>
      <c r="R9" s="2" t="s">
        <v>414</v>
      </c>
      <c r="S9" s="2" t="s">
        <v>424</v>
      </c>
      <c r="T9" s="2" t="s">
        <v>282</v>
      </c>
      <c r="U9" s="2" t="s">
        <v>282</v>
      </c>
      <c r="V9" s="2" t="s">
        <v>420</v>
      </c>
    </row>
    <row r="10" spans="1:22" ht="32" customHeight="1" x14ac:dyDescent="0.2">
      <c r="A10" s="2" t="str">
        <f>INDEX('AI Inventory'!$A$5:$A$11,7)</f>
        <v>AI-007</v>
      </c>
      <c r="B10" s="2" t="str">
        <f>INDEX('AI Inventory'!$C$5:$C$11,7)</f>
        <v>Potential Hazard Navigator</v>
      </c>
      <c r="C10" s="2" t="s">
        <v>407</v>
      </c>
      <c r="D10" s="2" t="str">
        <f t="shared" si="0"/>
        <v>Moderate</v>
      </c>
      <c r="E10" s="2" t="s">
        <v>429</v>
      </c>
      <c r="F10" s="2" t="s">
        <v>27</v>
      </c>
      <c r="G10" s="2" t="str">
        <f t="shared" si="1"/>
        <v>No</v>
      </c>
      <c r="H10" s="2" t="str">
        <f t="shared" si="2"/>
        <v>Yes</v>
      </c>
      <c r="I10" s="2" t="str">
        <f t="shared" si="3"/>
        <v>No</v>
      </c>
      <c r="J10" s="2" t="str">
        <f t="shared" si="4"/>
        <v>No</v>
      </c>
      <c r="K10" s="2" t="s">
        <v>292</v>
      </c>
      <c r="L10" s="2" t="s">
        <v>292</v>
      </c>
      <c r="M10" s="2" t="s">
        <v>292</v>
      </c>
      <c r="N10" s="2" t="s">
        <v>292</v>
      </c>
      <c r="O10" s="2" t="s">
        <v>292</v>
      </c>
      <c r="P10" s="2" t="s">
        <v>430</v>
      </c>
      <c r="Q10" s="2" t="s">
        <v>583</v>
      </c>
      <c r="R10" s="2" t="s">
        <v>426</v>
      </c>
      <c r="S10" s="2" t="s">
        <v>426</v>
      </c>
      <c r="T10" s="2" t="s">
        <v>426</v>
      </c>
      <c r="U10" s="2" t="s">
        <v>426</v>
      </c>
      <c r="V10" s="2" t="s">
        <v>292</v>
      </c>
    </row>
    <row r="11" spans="1:22" ht="16" customHeight="1" x14ac:dyDescent="0.2">
      <c r="D11" s="2" t="str">
        <f t="shared" si="0"/>
        <v>Low</v>
      </c>
    </row>
    <row r="12" spans="1:22" ht="16" customHeight="1" x14ac:dyDescent="0.2">
      <c r="D12" s="2" t="str">
        <f t="shared" si="0"/>
        <v>Low</v>
      </c>
    </row>
    <row r="13" spans="1:22" ht="16" customHeight="1" x14ac:dyDescent="0.2">
      <c r="D13" s="2" t="str">
        <f t="shared" si="0"/>
        <v>Low</v>
      </c>
    </row>
    <row r="14" spans="1:22" ht="16" customHeight="1" x14ac:dyDescent="0.2">
      <c r="D14" s="2" t="str">
        <f t="shared" si="0"/>
        <v>Low</v>
      </c>
    </row>
    <row r="15" spans="1:22" ht="16" customHeight="1" x14ac:dyDescent="0.2">
      <c r="D15" s="2" t="str">
        <f t="shared" si="0"/>
        <v>Low</v>
      </c>
    </row>
    <row r="16" spans="1:22" ht="16" customHeight="1" x14ac:dyDescent="0.2">
      <c r="D16" s="2" t="str">
        <f t="shared" si="0"/>
        <v>Low</v>
      </c>
    </row>
    <row r="17" spans="4:4" ht="16" customHeight="1" x14ac:dyDescent="0.2">
      <c r="D17" s="2" t="str">
        <f t="shared" si="0"/>
        <v>Low</v>
      </c>
    </row>
    <row r="18" spans="4:4" ht="16" customHeight="1" x14ac:dyDescent="0.2">
      <c r="D18" s="2" t="str">
        <f t="shared" si="0"/>
        <v>Low</v>
      </c>
    </row>
    <row r="19" spans="4:4" ht="16" customHeight="1" x14ac:dyDescent="0.2">
      <c r="D19" s="2" t="str">
        <f t="shared" ref="D19:D50" si="5">IF(C19="Rejected","Critical", IF(OR(J19="Yes", AND(NOT(ISNUMBER(SEARCH("Yes",V19))),I19="Yes",ISNUMBER(SEARCH("Yes",Q19)), COUNTIF(K19:P19,"Yes")&gt;=2)), "Critical", IF(AND(NOT(ISNUMBER(SEARCH("Yes",V19))),ISNUMBER(SEARCH("Yes",Q19)), OR(I19="Yes",COUNTIF(K19:P19,"Yes")&gt;=2)), "High", IF(OR(AND(I19="Yes",ISNUMBER(SEARCH("Yes",V19))), AND(COUNTIF(K19:P19,"Yes")=1,ISNUMBER(SEARCH("Yes",Q19)),NOT(ISNUMBER(SEARCH("Yes",V19)))), AND(I19="Yes",NOT(ISNUMBER(SEARCH("Yes",Q19))))), "Moderate", IF(AND(COUNTIF(K19:P19,"Yes")=0,I19&lt;&gt;"Yes", OR(G19="Yes",NOT(ISNUMBER(SEARCH("Yes",Q19))),ISNUMBER(SEARCH("Yes",V19)))), "Low", "Moderate")))))</f>
        <v>Low</v>
      </c>
    </row>
    <row r="20" spans="4:4" ht="16" customHeight="1" x14ac:dyDescent="0.2">
      <c r="D20" s="2" t="str">
        <f t="shared" si="5"/>
        <v>Low</v>
      </c>
    </row>
    <row r="21" spans="4:4" ht="16" customHeight="1" x14ac:dyDescent="0.2">
      <c r="D21" s="2" t="str">
        <f t="shared" si="5"/>
        <v>Low</v>
      </c>
    </row>
    <row r="22" spans="4:4" ht="16" customHeight="1" x14ac:dyDescent="0.2">
      <c r="D22" s="2" t="str">
        <f t="shared" si="5"/>
        <v>Low</v>
      </c>
    </row>
    <row r="23" spans="4:4" ht="16" customHeight="1" x14ac:dyDescent="0.2">
      <c r="D23" s="2" t="str">
        <f t="shared" si="5"/>
        <v>Low</v>
      </c>
    </row>
    <row r="24" spans="4:4" ht="16" customHeight="1" x14ac:dyDescent="0.2">
      <c r="D24" s="2" t="str">
        <f t="shared" si="5"/>
        <v>Low</v>
      </c>
    </row>
    <row r="25" spans="4:4" ht="16" customHeight="1" x14ac:dyDescent="0.2">
      <c r="D25" s="2" t="str">
        <f t="shared" si="5"/>
        <v>Low</v>
      </c>
    </row>
    <row r="26" spans="4:4" ht="16" customHeight="1" x14ac:dyDescent="0.2">
      <c r="D26" s="2" t="str">
        <f t="shared" si="5"/>
        <v>Low</v>
      </c>
    </row>
    <row r="27" spans="4:4" ht="16" customHeight="1" x14ac:dyDescent="0.2">
      <c r="D27" s="2" t="str">
        <f t="shared" si="5"/>
        <v>Low</v>
      </c>
    </row>
    <row r="28" spans="4:4" ht="16" customHeight="1" x14ac:dyDescent="0.2">
      <c r="D28" s="2" t="str">
        <f t="shared" si="5"/>
        <v>Low</v>
      </c>
    </row>
    <row r="29" spans="4:4" ht="16" customHeight="1" x14ac:dyDescent="0.2">
      <c r="D29" s="2" t="str">
        <f t="shared" si="5"/>
        <v>Low</v>
      </c>
    </row>
    <row r="30" spans="4:4" ht="16" customHeight="1" x14ac:dyDescent="0.2">
      <c r="D30" s="2" t="str">
        <f t="shared" si="5"/>
        <v>Low</v>
      </c>
    </row>
    <row r="31" spans="4:4" ht="16" customHeight="1" x14ac:dyDescent="0.2">
      <c r="D31" s="2" t="str">
        <f t="shared" si="5"/>
        <v>Low</v>
      </c>
    </row>
    <row r="32" spans="4:4" ht="16" customHeight="1" x14ac:dyDescent="0.2">
      <c r="D32" s="2" t="str">
        <f t="shared" si="5"/>
        <v>Low</v>
      </c>
    </row>
    <row r="33" spans="4:4" ht="16" customHeight="1" x14ac:dyDescent="0.2">
      <c r="D33" s="2" t="str">
        <f t="shared" si="5"/>
        <v>Low</v>
      </c>
    </row>
    <row r="34" spans="4:4" ht="16" customHeight="1" x14ac:dyDescent="0.2">
      <c r="D34" s="2" t="str">
        <f t="shared" si="5"/>
        <v>Low</v>
      </c>
    </row>
    <row r="35" spans="4:4" ht="16" customHeight="1" x14ac:dyDescent="0.2">
      <c r="D35" s="2" t="str">
        <f t="shared" si="5"/>
        <v>Low</v>
      </c>
    </row>
    <row r="36" spans="4:4" ht="16" customHeight="1" x14ac:dyDescent="0.2">
      <c r="D36" s="2" t="str">
        <f t="shared" si="5"/>
        <v>Low</v>
      </c>
    </row>
    <row r="37" spans="4:4" ht="16" customHeight="1" x14ac:dyDescent="0.2">
      <c r="D37" s="2" t="str">
        <f t="shared" si="5"/>
        <v>Low</v>
      </c>
    </row>
    <row r="38" spans="4:4" ht="16" customHeight="1" x14ac:dyDescent="0.2">
      <c r="D38" s="2" t="str">
        <f t="shared" si="5"/>
        <v>Low</v>
      </c>
    </row>
    <row r="39" spans="4:4" ht="16" customHeight="1" x14ac:dyDescent="0.2">
      <c r="D39" s="2" t="str">
        <f t="shared" si="5"/>
        <v>Low</v>
      </c>
    </row>
    <row r="40" spans="4:4" ht="16" customHeight="1" x14ac:dyDescent="0.2">
      <c r="D40" s="2" t="str">
        <f t="shared" si="5"/>
        <v>Low</v>
      </c>
    </row>
    <row r="41" spans="4:4" ht="16" customHeight="1" x14ac:dyDescent="0.2">
      <c r="D41" s="2" t="str">
        <f t="shared" si="5"/>
        <v>Low</v>
      </c>
    </row>
    <row r="42" spans="4:4" ht="16" customHeight="1" x14ac:dyDescent="0.2">
      <c r="D42" s="2" t="str">
        <f t="shared" si="5"/>
        <v>Low</v>
      </c>
    </row>
    <row r="43" spans="4:4" ht="16" customHeight="1" x14ac:dyDescent="0.2">
      <c r="D43" s="2" t="str">
        <f t="shared" si="5"/>
        <v>Low</v>
      </c>
    </row>
    <row r="44" spans="4:4" ht="16" customHeight="1" x14ac:dyDescent="0.2">
      <c r="D44" s="2" t="str">
        <f t="shared" si="5"/>
        <v>Low</v>
      </c>
    </row>
    <row r="45" spans="4:4" ht="16" customHeight="1" x14ac:dyDescent="0.2">
      <c r="D45" s="2" t="str">
        <f t="shared" si="5"/>
        <v>Low</v>
      </c>
    </row>
    <row r="46" spans="4:4" ht="16" customHeight="1" x14ac:dyDescent="0.2">
      <c r="D46" s="2" t="str">
        <f t="shared" si="5"/>
        <v>Low</v>
      </c>
    </row>
    <row r="47" spans="4:4" ht="16" customHeight="1" x14ac:dyDescent="0.2">
      <c r="D47" s="2" t="str">
        <f t="shared" si="5"/>
        <v>Low</v>
      </c>
    </row>
    <row r="48" spans="4:4" ht="16" customHeight="1" x14ac:dyDescent="0.2">
      <c r="D48" s="2" t="str">
        <f t="shared" si="5"/>
        <v>Low</v>
      </c>
    </row>
    <row r="49" spans="4:4" ht="16" customHeight="1" x14ac:dyDescent="0.2">
      <c r="D49" s="2" t="str">
        <f t="shared" si="5"/>
        <v>Low</v>
      </c>
    </row>
    <row r="50" spans="4:4" ht="16" customHeight="1" x14ac:dyDescent="0.2">
      <c r="D50" s="2" t="str">
        <f t="shared" si="5"/>
        <v>Low</v>
      </c>
    </row>
    <row r="51" spans="4:4" ht="16" customHeight="1" x14ac:dyDescent="0.2">
      <c r="D51" s="2" t="str">
        <f t="shared" ref="D51:D82" si="6">IF(C51="Rejected","Critical", IF(OR(J51="Yes", AND(NOT(ISNUMBER(SEARCH("Yes",V51))),I51="Yes",ISNUMBER(SEARCH("Yes",Q51)), COUNTIF(K51:P51,"Yes")&gt;=2)), "Critical", IF(AND(NOT(ISNUMBER(SEARCH("Yes",V51))),ISNUMBER(SEARCH("Yes",Q51)), OR(I51="Yes",COUNTIF(K51:P51,"Yes")&gt;=2)), "High", IF(OR(AND(I51="Yes",ISNUMBER(SEARCH("Yes",V51))), AND(COUNTIF(K51:P51,"Yes")=1,ISNUMBER(SEARCH("Yes",Q51)),NOT(ISNUMBER(SEARCH("Yes",V51)))), AND(I51="Yes",NOT(ISNUMBER(SEARCH("Yes",Q51))))), "Moderate", IF(AND(COUNTIF(K51:P51,"Yes")=0,I51&lt;&gt;"Yes", OR(G51="Yes",NOT(ISNUMBER(SEARCH("Yes",Q51))),ISNUMBER(SEARCH("Yes",V51)))), "Low", "Moderate")))))</f>
        <v>Low</v>
      </c>
    </row>
    <row r="52" spans="4:4" ht="16" customHeight="1" x14ac:dyDescent="0.2">
      <c r="D52" s="2" t="str">
        <f t="shared" si="6"/>
        <v>Low</v>
      </c>
    </row>
    <row r="53" spans="4:4" ht="16" customHeight="1" x14ac:dyDescent="0.2">
      <c r="D53" s="2" t="str">
        <f t="shared" si="6"/>
        <v>Low</v>
      </c>
    </row>
    <row r="54" spans="4:4" ht="16" customHeight="1" x14ac:dyDescent="0.2">
      <c r="D54" s="2" t="str">
        <f t="shared" si="6"/>
        <v>Low</v>
      </c>
    </row>
    <row r="55" spans="4:4" ht="16" customHeight="1" x14ac:dyDescent="0.2">
      <c r="D55" s="2" t="str">
        <f t="shared" si="6"/>
        <v>Low</v>
      </c>
    </row>
    <row r="56" spans="4:4" ht="16" customHeight="1" x14ac:dyDescent="0.2">
      <c r="D56" s="2" t="str">
        <f t="shared" si="6"/>
        <v>Low</v>
      </c>
    </row>
    <row r="57" spans="4:4" ht="16" customHeight="1" x14ac:dyDescent="0.2">
      <c r="D57" s="2" t="str">
        <f t="shared" si="6"/>
        <v>Low</v>
      </c>
    </row>
    <row r="58" spans="4:4" ht="16" customHeight="1" x14ac:dyDescent="0.2">
      <c r="D58" s="2" t="str">
        <f t="shared" si="6"/>
        <v>Low</v>
      </c>
    </row>
    <row r="59" spans="4:4" ht="16" customHeight="1" x14ac:dyDescent="0.2">
      <c r="D59" s="2" t="str">
        <f t="shared" si="6"/>
        <v>Low</v>
      </c>
    </row>
    <row r="60" spans="4:4" ht="16" customHeight="1" x14ac:dyDescent="0.2">
      <c r="D60" s="2" t="str">
        <f t="shared" si="6"/>
        <v>Low</v>
      </c>
    </row>
    <row r="61" spans="4:4" ht="16" customHeight="1" x14ac:dyDescent="0.2">
      <c r="D61" s="2" t="str">
        <f t="shared" si="6"/>
        <v>Low</v>
      </c>
    </row>
    <row r="62" spans="4:4" ht="16" customHeight="1" x14ac:dyDescent="0.2">
      <c r="D62" s="2" t="str">
        <f t="shared" si="6"/>
        <v>Low</v>
      </c>
    </row>
    <row r="63" spans="4:4" ht="16" customHeight="1" x14ac:dyDescent="0.2">
      <c r="D63" s="2" t="str">
        <f t="shared" si="6"/>
        <v>Low</v>
      </c>
    </row>
    <row r="64" spans="4:4" ht="16" customHeight="1" x14ac:dyDescent="0.2">
      <c r="D64" s="2" t="str">
        <f t="shared" si="6"/>
        <v>Low</v>
      </c>
    </row>
    <row r="65" spans="4:4" ht="16" customHeight="1" x14ac:dyDescent="0.2">
      <c r="D65" s="2" t="str">
        <f t="shared" si="6"/>
        <v>Low</v>
      </c>
    </row>
    <row r="66" spans="4:4" ht="16" customHeight="1" x14ac:dyDescent="0.2">
      <c r="D66" s="2" t="str">
        <f t="shared" si="6"/>
        <v>Low</v>
      </c>
    </row>
    <row r="67" spans="4:4" ht="16" customHeight="1" x14ac:dyDescent="0.2">
      <c r="D67" s="2" t="str">
        <f t="shared" si="6"/>
        <v>Low</v>
      </c>
    </row>
    <row r="68" spans="4:4" ht="16" customHeight="1" x14ac:dyDescent="0.2">
      <c r="D68" s="2" t="str">
        <f t="shared" si="6"/>
        <v>Low</v>
      </c>
    </row>
    <row r="69" spans="4:4" ht="16" customHeight="1" x14ac:dyDescent="0.2">
      <c r="D69" s="2" t="str">
        <f t="shared" si="6"/>
        <v>Low</v>
      </c>
    </row>
    <row r="70" spans="4:4" ht="16" customHeight="1" x14ac:dyDescent="0.2">
      <c r="D70" s="2" t="str">
        <f t="shared" si="6"/>
        <v>Low</v>
      </c>
    </row>
    <row r="71" spans="4:4" ht="16" customHeight="1" x14ac:dyDescent="0.2">
      <c r="D71" s="2" t="str">
        <f t="shared" si="6"/>
        <v>Low</v>
      </c>
    </row>
    <row r="72" spans="4:4" ht="16" customHeight="1" x14ac:dyDescent="0.2">
      <c r="D72" s="2" t="str">
        <f t="shared" si="6"/>
        <v>Low</v>
      </c>
    </row>
    <row r="73" spans="4:4" ht="16" customHeight="1" x14ac:dyDescent="0.2">
      <c r="D73" s="2" t="str">
        <f t="shared" si="6"/>
        <v>Low</v>
      </c>
    </row>
    <row r="74" spans="4:4" ht="16" customHeight="1" x14ac:dyDescent="0.2">
      <c r="D74" s="2" t="str">
        <f t="shared" si="6"/>
        <v>Low</v>
      </c>
    </row>
    <row r="75" spans="4:4" ht="16" customHeight="1" x14ac:dyDescent="0.2">
      <c r="D75" s="2" t="str">
        <f t="shared" si="6"/>
        <v>Low</v>
      </c>
    </row>
    <row r="76" spans="4:4" ht="16" customHeight="1" x14ac:dyDescent="0.2">
      <c r="D76" s="2" t="str">
        <f t="shared" si="6"/>
        <v>Low</v>
      </c>
    </row>
    <row r="77" spans="4:4" ht="16" customHeight="1" x14ac:dyDescent="0.2">
      <c r="D77" s="2" t="str">
        <f t="shared" si="6"/>
        <v>Low</v>
      </c>
    </row>
    <row r="78" spans="4:4" ht="16" customHeight="1" x14ac:dyDescent="0.2">
      <c r="D78" s="2" t="str">
        <f t="shared" si="6"/>
        <v>Low</v>
      </c>
    </row>
    <row r="79" spans="4:4" ht="16" customHeight="1" x14ac:dyDescent="0.2">
      <c r="D79" s="2" t="str">
        <f t="shared" si="6"/>
        <v>Low</v>
      </c>
    </row>
    <row r="80" spans="4:4" ht="16" customHeight="1" x14ac:dyDescent="0.2">
      <c r="D80" s="2" t="str">
        <f t="shared" si="6"/>
        <v>Low</v>
      </c>
    </row>
    <row r="81" spans="4:4" ht="16" customHeight="1" x14ac:dyDescent="0.2">
      <c r="D81" s="2" t="str">
        <f t="shared" si="6"/>
        <v>Low</v>
      </c>
    </row>
    <row r="82" spans="4:4" ht="16" customHeight="1" x14ac:dyDescent="0.2">
      <c r="D82" s="2" t="str">
        <f t="shared" si="6"/>
        <v>Low</v>
      </c>
    </row>
    <row r="83" spans="4:4" ht="16" customHeight="1" x14ac:dyDescent="0.2">
      <c r="D83" s="2" t="str">
        <f t="shared" ref="D83:D114" si="7">IF(C83="Rejected","Critical", IF(OR(J83="Yes", AND(NOT(ISNUMBER(SEARCH("Yes",V83))),I83="Yes",ISNUMBER(SEARCH("Yes",Q83)), COUNTIF(K83:P83,"Yes")&gt;=2)), "Critical", IF(AND(NOT(ISNUMBER(SEARCH("Yes",V83))),ISNUMBER(SEARCH("Yes",Q83)), OR(I83="Yes",COUNTIF(K83:P83,"Yes")&gt;=2)), "High", IF(OR(AND(I83="Yes",ISNUMBER(SEARCH("Yes",V83))), AND(COUNTIF(K83:P83,"Yes")=1,ISNUMBER(SEARCH("Yes",Q83)),NOT(ISNUMBER(SEARCH("Yes",V83)))), AND(I83="Yes",NOT(ISNUMBER(SEARCH("Yes",Q83))))), "Moderate", IF(AND(COUNTIF(K83:P83,"Yes")=0,I83&lt;&gt;"Yes", OR(G83="Yes",NOT(ISNUMBER(SEARCH("Yes",Q83))),ISNUMBER(SEARCH("Yes",V83)))), "Low", "Moderate")))))</f>
        <v>Low</v>
      </c>
    </row>
    <row r="84" spans="4:4" ht="16" customHeight="1" x14ac:dyDescent="0.2">
      <c r="D84" s="2" t="str">
        <f t="shared" si="7"/>
        <v>Low</v>
      </c>
    </row>
    <row r="85" spans="4:4" ht="16" customHeight="1" x14ac:dyDescent="0.2">
      <c r="D85" s="2" t="str">
        <f t="shared" si="7"/>
        <v>Low</v>
      </c>
    </row>
    <row r="86" spans="4:4" ht="16" customHeight="1" x14ac:dyDescent="0.2">
      <c r="D86" s="2" t="str">
        <f t="shared" si="7"/>
        <v>Low</v>
      </c>
    </row>
    <row r="87" spans="4:4" ht="16" customHeight="1" x14ac:dyDescent="0.2">
      <c r="D87" s="2" t="str">
        <f t="shared" si="7"/>
        <v>Low</v>
      </c>
    </row>
    <row r="88" spans="4:4" ht="16" customHeight="1" x14ac:dyDescent="0.2">
      <c r="D88" s="2" t="str">
        <f t="shared" si="7"/>
        <v>Low</v>
      </c>
    </row>
    <row r="89" spans="4:4" ht="16" customHeight="1" x14ac:dyDescent="0.2">
      <c r="D89" s="2" t="str">
        <f t="shared" si="7"/>
        <v>Low</v>
      </c>
    </row>
    <row r="90" spans="4:4" ht="16" customHeight="1" x14ac:dyDescent="0.2">
      <c r="D90" s="2" t="str">
        <f t="shared" si="7"/>
        <v>Low</v>
      </c>
    </row>
    <row r="91" spans="4:4" ht="16" customHeight="1" x14ac:dyDescent="0.2">
      <c r="D91" s="2" t="str">
        <f t="shared" si="7"/>
        <v>Low</v>
      </c>
    </row>
    <row r="92" spans="4:4" ht="16" customHeight="1" x14ac:dyDescent="0.2">
      <c r="D92" s="2" t="str">
        <f t="shared" si="7"/>
        <v>Low</v>
      </c>
    </row>
    <row r="93" spans="4:4" ht="16" customHeight="1" x14ac:dyDescent="0.2">
      <c r="D93" s="2" t="str">
        <f t="shared" si="7"/>
        <v>Low</v>
      </c>
    </row>
    <row r="94" spans="4:4" ht="16" customHeight="1" x14ac:dyDescent="0.2">
      <c r="D94" s="2" t="str">
        <f t="shared" si="7"/>
        <v>Low</v>
      </c>
    </row>
    <row r="95" spans="4:4" ht="16" customHeight="1" x14ac:dyDescent="0.2">
      <c r="D95" s="2" t="str">
        <f t="shared" si="7"/>
        <v>Low</v>
      </c>
    </row>
    <row r="96" spans="4:4" ht="16" customHeight="1" x14ac:dyDescent="0.2">
      <c r="D96" s="2" t="str">
        <f t="shared" si="7"/>
        <v>Low</v>
      </c>
    </row>
    <row r="97" spans="4:4" ht="16" customHeight="1" x14ac:dyDescent="0.2">
      <c r="D97" s="2" t="str">
        <f t="shared" si="7"/>
        <v>Low</v>
      </c>
    </row>
    <row r="98" spans="4:4" ht="16" customHeight="1" x14ac:dyDescent="0.2">
      <c r="D98" s="2" t="str">
        <f t="shared" si="7"/>
        <v>Low</v>
      </c>
    </row>
    <row r="99" spans="4:4" ht="16" customHeight="1" x14ac:dyDescent="0.2">
      <c r="D99" s="2" t="str">
        <f t="shared" si="7"/>
        <v>Low</v>
      </c>
    </row>
    <row r="100" spans="4:4" ht="16" customHeight="1" x14ac:dyDescent="0.2">
      <c r="D100" s="2" t="str">
        <f t="shared" si="7"/>
        <v>Low</v>
      </c>
    </row>
    <row r="101" spans="4:4" ht="16" customHeight="1" x14ac:dyDescent="0.2">
      <c r="D101" s="2" t="str">
        <f t="shared" si="7"/>
        <v>Low</v>
      </c>
    </row>
    <row r="102" spans="4:4" ht="16" customHeight="1" x14ac:dyDescent="0.2">
      <c r="D102" s="2" t="str">
        <f t="shared" si="7"/>
        <v>Low</v>
      </c>
    </row>
    <row r="103" spans="4:4" ht="16" customHeight="1" x14ac:dyDescent="0.2">
      <c r="D103" s="2" t="str">
        <f t="shared" si="7"/>
        <v>Low</v>
      </c>
    </row>
    <row r="104" spans="4:4" ht="16" customHeight="1" x14ac:dyDescent="0.2">
      <c r="D104" s="2" t="str">
        <f t="shared" si="7"/>
        <v>Low</v>
      </c>
    </row>
    <row r="105" spans="4:4" ht="16" customHeight="1" x14ac:dyDescent="0.2">
      <c r="D105" s="2" t="str">
        <f t="shared" si="7"/>
        <v>Low</v>
      </c>
    </row>
    <row r="106" spans="4:4" ht="16" customHeight="1" x14ac:dyDescent="0.2">
      <c r="D106" s="2" t="str">
        <f t="shared" si="7"/>
        <v>Low</v>
      </c>
    </row>
    <row r="107" spans="4:4" ht="16" customHeight="1" x14ac:dyDescent="0.2">
      <c r="D107" s="2" t="str">
        <f t="shared" si="7"/>
        <v>Low</v>
      </c>
    </row>
    <row r="108" spans="4:4" ht="16" customHeight="1" x14ac:dyDescent="0.2">
      <c r="D108" s="2" t="str">
        <f t="shared" si="7"/>
        <v>Low</v>
      </c>
    </row>
    <row r="109" spans="4:4" ht="16" customHeight="1" x14ac:dyDescent="0.2">
      <c r="D109" s="2" t="str">
        <f t="shared" si="7"/>
        <v>Low</v>
      </c>
    </row>
    <row r="110" spans="4:4" ht="16" customHeight="1" x14ac:dyDescent="0.2">
      <c r="D110" s="2" t="str">
        <f t="shared" si="7"/>
        <v>Low</v>
      </c>
    </row>
    <row r="111" spans="4:4" ht="16" customHeight="1" x14ac:dyDescent="0.2">
      <c r="D111" s="2" t="str">
        <f t="shared" si="7"/>
        <v>Low</v>
      </c>
    </row>
    <row r="112" spans="4:4" ht="16" customHeight="1" x14ac:dyDescent="0.2">
      <c r="D112" s="2" t="str">
        <f t="shared" si="7"/>
        <v>Low</v>
      </c>
    </row>
    <row r="113" spans="4:4" ht="16" customHeight="1" x14ac:dyDescent="0.2">
      <c r="D113" s="2" t="str">
        <f t="shared" si="7"/>
        <v>Low</v>
      </c>
    </row>
    <row r="114" spans="4:4" ht="16" customHeight="1" x14ac:dyDescent="0.2">
      <c r="D114" s="2" t="str">
        <f t="shared" si="7"/>
        <v>Low</v>
      </c>
    </row>
    <row r="115" spans="4:4" ht="16" customHeight="1" x14ac:dyDescent="0.2">
      <c r="D115" s="2" t="str">
        <f t="shared" ref="D115:D146" si="8">IF(C115="Rejected","Critical", IF(OR(J115="Yes", AND(NOT(ISNUMBER(SEARCH("Yes",V115))),I115="Yes",ISNUMBER(SEARCH("Yes",Q115)), COUNTIF(K115:P115,"Yes")&gt;=2)), "Critical", IF(AND(NOT(ISNUMBER(SEARCH("Yes",V115))),ISNUMBER(SEARCH("Yes",Q115)), OR(I115="Yes",COUNTIF(K115:P115,"Yes")&gt;=2)), "High", IF(OR(AND(I115="Yes",ISNUMBER(SEARCH("Yes",V115))), AND(COUNTIF(K115:P115,"Yes")=1,ISNUMBER(SEARCH("Yes",Q115)),NOT(ISNUMBER(SEARCH("Yes",V115)))), AND(I115="Yes",NOT(ISNUMBER(SEARCH("Yes",Q115))))), "Moderate", IF(AND(COUNTIF(K115:P115,"Yes")=0,I115&lt;&gt;"Yes", OR(G115="Yes",NOT(ISNUMBER(SEARCH("Yes",Q115))),ISNUMBER(SEARCH("Yes",V115)))), "Low", "Moderate")))))</f>
        <v>Low</v>
      </c>
    </row>
    <row r="116" spans="4:4" ht="16" customHeight="1" x14ac:dyDescent="0.2">
      <c r="D116" s="2" t="str">
        <f t="shared" si="8"/>
        <v>Low</v>
      </c>
    </row>
    <row r="117" spans="4:4" ht="16" customHeight="1" x14ac:dyDescent="0.2">
      <c r="D117" s="2" t="str">
        <f t="shared" si="8"/>
        <v>Low</v>
      </c>
    </row>
    <row r="118" spans="4:4" ht="16" customHeight="1" x14ac:dyDescent="0.2">
      <c r="D118" s="2" t="str">
        <f t="shared" si="8"/>
        <v>Low</v>
      </c>
    </row>
    <row r="119" spans="4:4" ht="16" customHeight="1" x14ac:dyDescent="0.2">
      <c r="D119" s="2" t="str">
        <f t="shared" si="8"/>
        <v>Low</v>
      </c>
    </row>
    <row r="120" spans="4:4" ht="16" customHeight="1" x14ac:dyDescent="0.2">
      <c r="D120" s="2" t="str">
        <f t="shared" si="8"/>
        <v>Low</v>
      </c>
    </row>
    <row r="121" spans="4:4" ht="16" customHeight="1" x14ac:dyDescent="0.2">
      <c r="D121" s="2" t="str">
        <f t="shared" si="8"/>
        <v>Low</v>
      </c>
    </row>
    <row r="122" spans="4:4" ht="16" customHeight="1" x14ac:dyDescent="0.2">
      <c r="D122" s="2" t="str">
        <f t="shared" si="8"/>
        <v>Low</v>
      </c>
    </row>
    <row r="123" spans="4:4" ht="16" customHeight="1" x14ac:dyDescent="0.2">
      <c r="D123" s="2" t="str">
        <f t="shared" si="8"/>
        <v>Low</v>
      </c>
    </row>
    <row r="124" spans="4:4" ht="16" customHeight="1" x14ac:dyDescent="0.2">
      <c r="D124" s="2" t="str">
        <f t="shared" si="8"/>
        <v>Low</v>
      </c>
    </row>
    <row r="125" spans="4:4" ht="16" customHeight="1" x14ac:dyDescent="0.2">
      <c r="D125" s="2" t="str">
        <f t="shared" si="8"/>
        <v>Low</v>
      </c>
    </row>
    <row r="126" spans="4:4" ht="16" customHeight="1" x14ac:dyDescent="0.2">
      <c r="D126" s="2" t="str">
        <f t="shared" si="8"/>
        <v>Low</v>
      </c>
    </row>
    <row r="127" spans="4:4" ht="16" customHeight="1" x14ac:dyDescent="0.2">
      <c r="D127" s="2" t="str">
        <f t="shared" si="8"/>
        <v>Low</v>
      </c>
    </row>
    <row r="128" spans="4:4" ht="16" customHeight="1" x14ac:dyDescent="0.2">
      <c r="D128" s="2" t="str">
        <f t="shared" si="8"/>
        <v>Low</v>
      </c>
    </row>
    <row r="129" spans="4:4" ht="16" customHeight="1" x14ac:dyDescent="0.2">
      <c r="D129" s="2" t="str">
        <f t="shared" si="8"/>
        <v>Low</v>
      </c>
    </row>
    <row r="130" spans="4:4" ht="16" customHeight="1" x14ac:dyDescent="0.2">
      <c r="D130" s="2" t="str">
        <f t="shared" si="8"/>
        <v>Low</v>
      </c>
    </row>
    <row r="131" spans="4:4" ht="16" customHeight="1" x14ac:dyDescent="0.2">
      <c r="D131" s="2" t="str">
        <f t="shared" si="8"/>
        <v>Low</v>
      </c>
    </row>
    <row r="132" spans="4:4" ht="16" customHeight="1" x14ac:dyDescent="0.2">
      <c r="D132" s="2" t="str">
        <f t="shared" si="8"/>
        <v>Low</v>
      </c>
    </row>
    <row r="133" spans="4:4" ht="16" customHeight="1" x14ac:dyDescent="0.2">
      <c r="D133" s="2" t="str">
        <f t="shared" si="8"/>
        <v>Low</v>
      </c>
    </row>
    <row r="134" spans="4:4" ht="16" customHeight="1" x14ac:dyDescent="0.2">
      <c r="D134" s="2" t="str">
        <f t="shared" si="8"/>
        <v>Low</v>
      </c>
    </row>
    <row r="135" spans="4:4" ht="16" customHeight="1" x14ac:dyDescent="0.2">
      <c r="D135" s="2" t="str">
        <f t="shared" si="8"/>
        <v>Low</v>
      </c>
    </row>
    <row r="136" spans="4:4" ht="16" customHeight="1" x14ac:dyDescent="0.2">
      <c r="D136" s="2" t="str">
        <f t="shared" si="8"/>
        <v>Low</v>
      </c>
    </row>
    <row r="137" spans="4:4" ht="16" customHeight="1" x14ac:dyDescent="0.2">
      <c r="D137" s="2" t="str">
        <f t="shared" si="8"/>
        <v>Low</v>
      </c>
    </row>
    <row r="138" spans="4:4" ht="16" customHeight="1" x14ac:dyDescent="0.2">
      <c r="D138" s="2" t="str">
        <f t="shared" si="8"/>
        <v>Low</v>
      </c>
    </row>
    <row r="139" spans="4:4" ht="16" customHeight="1" x14ac:dyDescent="0.2">
      <c r="D139" s="2" t="str">
        <f t="shared" si="8"/>
        <v>Low</v>
      </c>
    </row>
    <row r="140" spans="4:4" ht="16" customHeight="1" x14ac:dyDescent="0.2">
      <c r="D140" s="2" t="str">
        <f t="shared" si="8"/>
        <v>Low</v>
      </c>
    </row>
    <row r="141" spans="4:4" ht="16" customHeight="1" x14ac:dyDescent="0.2">
      <c r="D141" s="2" t="str">
        <f t="shared" si="8"/>
        <v>Low</v>
      </c>
    </row>
    <row r="142" spans="4:4" ht="16" customHeight="1" x14ac:dyDescent="0.2">
      <c r="D142" s="2" t="str">
        <f t="shared" si="8"/>
        <v>Low</v>
      </c>
    </row>
    <row r="143" spans="4:4" ht="16" customHeight="1" x14ac:dyDescent="0.2">
      <c r="D143" s="2" t="str">
        <f t="shared" si="8"/>
        <v>Low</v>
      </c>
    </row>
    <row r="144" spans="4:4" ht="16" customHeight="1" x14ac:dyDescent="0.2">
      <c r="D144" s="2" t="str">
        <f t="shared" si="8"/>
        <v>Low</v>
      </c>
    </row>
    <row r="145" spans="4:4" ht="16" customHeight="1" x14ac:dyDescent="0.2">
      <c r="D145" s="2" t="str">
        <f t="shared" si="8"/>
        <v>Low</v>
      </c>
    </row>
    <row r="146" spans="4:4" ht="16" customHeight="1" x14ac:dyDescent="0.2">
      <c r="D146" s="2" t="str">
        <f t="shared" si="8"/>
        <v>Low</v>
      </c>
    </row>
    <row r="147" spans="4:4" ht="16" customHeight="1" x14ac:dyDescent="0.2">
      <c r="D147" s="2" t="str">
        <f t="shared" ref="D147:D178" si="9">IF(C147="Rejected","Critical", IF(OR(J147="Yes", AND(NOT(ISNUMBER(SEARCH("Yes",V147))),I147="Yes",ISNUMBER(SEARCH("Yes",Q147)), COUNTIF(K147:P147,"Yes")&gt;=2)), "Critical", IF(AND(NOT(ISNUMBER(SEARCH("Yes",V147))),ISNUMBER(SEARCH("Yes",Q147)), OR(I147="Yes",COUNTIF(K147:P147,"Yes")&gt;=2)), "High", IF(OR(AND(I147="Yes",ISNUMBER(SEARCH("Yes",V147))), AND(COUNTIF(K147:P147,"Yes")=1,ISNUMBER(SEARCH("Yes",Q147)),NOT(ISNUMBER(SEARCH("Yes",V147)))), AND(I147="Yes",NOT(ISNUMBER(SEARCH("Yes",Q147))))), "Moderate", IF(AND(COUNTIF(K147:P147,"Yes")=0,I147&lt;&gt;"Yes", OR(G147="Yes",NOT(ISNUMBER(SEARCH("Yes",Q147))),ISNUMBER(SEARCH("Yes",V147)))), "Low", "Moderate")))))</f>
        <v>Low</v>
      </c>
    </row>
    <row r="148" spans="4:4" ht="16" customHeight="1" x14ac:dyDescent="0.2">
      <c r="D148" s="2" t="str">
        <f t="shared" si="9"/>
        <v>Low</v>
      </c>
    </row>
    <row r="149" spans="4:4" ht="16" customHeight="1" x14ac:dyDescent="0.2">
      <c r="D149" s="2" t="str">
        <f t="shared" si="9"/>
        <v>Low</v>
      </c>
    </row>
    <row r="150" spans="4:4" ht="16" customHeight="1" x14ac:dyDescent="0.2">
      <c r="D150" s="2" t="str">
        <f t="shared" si="9"/>
        <v>Low</v>
      </c>
    </row>
    <row r="151" spans="4:4" ht="16" customHeight="1" x14ac:dyDescent="0.2">
      <c r="D151" s="2" t="str">
        <f t="shared" si="9"/>
        <v>Low</v>
      </c>
    </row>
    <row r="152" spans="4:4" ht="16" customHeight="1" x14ac:dyDescent="0.2">
      <c r="D152" s="2" t="str">
        <f t="shared" si="9"/>
        <v>Low</v>
      </c>
    </row>
    <row r="153" spans="4:4" ht="16" customHeight="1" x14ac:dyDescent="0.2">
      <c r="D153" s="2" t="str">
        <f t="shared" si="9"/>
        <v>Low</v>
      </c>
    </row>
    <row r="154" spans="4:4" ht="16" customHeight="1" x14ac:dyDescent="0.2">
      <c r="D154" s="2" t="str">
        <f t="shared" si="9"/>
        <v>Low</v>
      </c>
    </row>
    <row r="155" spans="4:4" ht="16" customHeight="1" x14ac:dyDescent="0.2">
      <c r="D155" s="2" t="str">
        <f t="shared" si="9"/>
        <v>Low</v>
      </c>
    </row>
    <row r="156" spans="4:4" ht="16" customHeight="1" x14ac:dyDescent="0.2">
      <c r="D156" s="2" t="str">
        <f t="shared" si="9"/>
        <v>Low</v>
      </c>
    </row>
    <row r="157" spans="4:4" ht="16" customHeight="1" x14ac:dyDescent="0.2">
      <c r="D157" s="2" t="str">
        <f t="shared" si="9"/>
        <v>Low</v>
      </c>
    </row>
    <row r="158" spans="4:4" ht="16" customHeight="1" x14ac:dyDescent="0.2">
      <c r="D158" s="2" t="str">
        <f t="shared" si="9"/>
        <v>Low</v>
      </c>
    </row>
    <row r="159" spans="4:4" ht="16" customHeight="1" x14ac:dyDescent="0.2">
      <c r="D159" s="2" t="str">
        <f t="shared" si="9"/>
        <v>Low</v>
      </c>
    </row>
    <row r="160" spans="4:4" ht="16" customHeight="1" x14ac:dyDescent="0.2">
      <c r="D160" s="2" t="str">
        <f t="shared" si="9"/>
        <v>Low</v>
      </c>
    </row>
    <row r="161" spans="4:4" ht="16" customHeight="1" x14ac:dyDescent="0.2">
      <c r="D161" s="2" t="str">
        <f t="shared" si="9"/>
        <v>Low</v>
      </c>
    </row>
    <row r="162" spans="4:4" ht="16" customHeight="1" x14ac:dyDescent="0.2">
      <c r="D162" s="2" t="str">
        <f t="shared" si="9"/>
        <v>Low</v>
      </c>
    </row>
    <row r="163" spans="4:4" ht="16" customHeight="1" x14ac:dyDescent="0.2">
      <c r="D163" s="2" t="str">
        <f t="shared" si="9"/>
        <v>Low</v>
      </c>
    </row>
    <row r="164" spans="4:4" ht="16" customHeight="1" x14ac:dyDescent="0.2">
      <c r="D164" s="2" t="str">
        <f t="shared" si="9"/>
        <v>Low</v>
      </c>
    </row>
    <row r="165" spans="4:4" ht="16" customHeight="1" x14ac:dyDescent="0.2">
      <c r="D165" s="2" t="str">
        <f t="shared" si="9"/>
        <v>Low</v>
      </c>
    </row>
    <row r="166" spans="4:4" ht="16" customHeight="1" x14ac:dyDescent="0.2">
      <c r="D166" s="2" t="str">
        <f t="shared" si="9"/>
        <v>Low</v>
      </c>
    </row>
    <row r="167" spans="4:4" ht="16" customHeight="1" x14ac:dyDescent="0.2">
      <c r="D167" s="2" t="str">
        <f t="shared" si="9"/>
        <v>Low</v>
      </c>
    </row>
    <row r="168" spans="4:4" ht="16" customHeight="1" x14ac:dyDescent="0.2">
      <c r="D168" s="2" t="str">
        <f t="shared" si="9"/>
        <v>Low</v>
      </c>
    </row>
    <row r="169" spans="4:4" ht="16" customHeight="1" x14ac:dyDescent="0.2">
      <c r="D169" s="2" t="str">
        <f t="shared" si="9"/>
        <v>Low</v>
      </c>
    </row>
    <row r="170" spans="4:4" ht="16" customHeight="1" x14ac:dyDescent="0.2">
      <c r="D170" s="2" t="str">
        <f t="shared" si="9"/>
        <v>Low</v>
      </c>
    </row>
    <row r="171" spans="4:4" ht="16" customHeight="1" x14ac:dyDescent="0.2">
      <c r="D171" s="2" t="str">
        <f t="shared" si="9"/>
        <v>Low</v>
      </c>
    </row>
    <row r="172" spans="4:4" ht="16" customHeight="1" x14ac:dyDescent="0.2">
      <c r="D172" s="2" t="str">
        <f t="shared" si="9"/>
        <v>Low</v>
      </c>
    </row>
    <row r="173" spans="4:4" ht="16" customHeight="1" x14ac:dyDescent="0.2">
      <c r="D173" s="2" t="str">
        <f t="shared" si="9"/>
        <v>Low</v>
      </c>
    </row>
    <row r="174" spans="4:4" ht="16" customHeight="1" x14ac:dyDescent="0.2">
      <c r="D174" s="2" t="str">
        <f t="shared" si="9"/>
        <v>Low</v>
      </c>
    </row>
    <row r="175" spans="4:4" ht="16" customHeight="1" x14ac:dyDescent="0.2">
      <c r="D175" s="2" t="str">
        <f t="shared" si="9"/>
        <v>Low</v>
      </c>
    </row>
    <row r="176" spans="4:4" ht="16" customHeight="1" x14ac:dyDescent="0.2">
      <c r="D176" s="2" t="str">
        <f t="shared" si="9"/>
        <v>Low</v>
      </c>
    </row>
    <row r="177" spans="4:4" ht="16" customHeight="1" x14ac:dyDescent="0.2">
      <c r="D177" s="2" t="str">
        <f t="shared" si="9"/>
        <v>Low</v>
      </c>
    </row>
    <row r="178" spans="4:4" ht="16" customHeight="1" x14ac:dyDescent="0.2">
      <c r="D178" s="2" t="str">
        <f t="shared" si="9"/>
        <v>Low</v>
      </c>
    </row>
    <row r="179" spans="4:4" ht="16" customHeight="1" x14ac:dyDescent="0.2">
      <c r="D179" s="2" t="str">
        <f t="shared" ref="D179:D200" si="10">IF(C179="Rejected","Critical", IF(OR(J179="Yes", AND(NOT(ISNUMBER(SEARCH("Yes",V179))),I179="Yes",ISNUMBER(SEARCH("Yes",Q179)), COUNTIF(K179:P179,"Yes")&gt;=2)), "Critical", IF(AND(NOT(ISNUMBER(SEARCH("Yes",V179))),ISNUMBER(SEARCH("Yes",Q179)), OR(I179="Yes",COUNTIF(K179:P179,"Yes")&gt;=2)), "High", IF(OR(AND(I179="Yes",ISNUMBER(SEARCH("Yes",V179))), AND(COUNTIF(K179:P179,"Yes")=1,ISNUMBER(SEARCH("Yes",Q179)),NOT(ISNUMBER(SEARCH("Yes",V179)))), AND(I179="Yes",NOT(ISNUMBER(SEARCH("Yes",Q179))))), "Moderate", IF(AND(COUNTIF(K179:P179,"Yes")=0,I179&lt;&gt;"Yes", OR(G179="Yes",NOT(ISNUMBER(SEARCH("Yes",Q179))),ISNUMBER(SEARCH("Yes",V179)))), "Low", "Moderate")))))</f>
        <v>Low</v>
      </c>
    </row>
    <row r="180" spans="4:4" ht="16" customHeight="1" x14ac:dyDescent="0.2">
      <c r="D180" s="2" t="str">
        <f t="shared" si="10"/>
        <v>Low</v>
      </c>
    </row>
    <row r="181" spans="4:4" ht="16" customHeight="1" x14ac:dyDescent="0.2">
      <c r="D181" s="2" t="str">
        <f t="shared" si="10"/>
        <v>Low</v>
      </c>
    </row>
    <row r="182" spans="4:4" ht="16" customHeight="1" x14ac:dyDescent="0.2">
      <c r="D182" s="2" t="str">
        <f t="shared" si="10"/>
        <v>Low</v>
      </c>
    </row>
    <row r="183" spans="4:4" ht="16" customHeight="1" x14ac:dyDescent="0.2">
      <c r="D183" s="2" t="str">
        <f t="shared" si="10"/>
        <v>Low</v>
      </c>
    </row>
    <row r="184" spans="4:4" ht="16" customHeight="1" x14ac:dyDescent="0.2">
      <c r="D184" s="2" t="str">
        <f t="shared" si="10"/>
        <v>Low</v>
      </c>
    </row>
    <row r="185" spans="4:4" ht="16" customHeight="1" x14ac:dyDescent="0.2">
      <c r="D185" s="2" t="str">
        <f t="shared" si="10"/>
        <v>Low</v>
      </c>
    </row>
    <row r="186" spans="4:4" ht="16" customHeight="1" x14ac:dyDescent="0.2">
      <c r="D186" s="2" t="str">
        <f t="shared" si="10"/>
        <v>Low</v>
      </c>
    </row>
    <row r="187" spans="4:4" ht="16" customHeight="1" x14ac:dyDescent="0.2">
      <c r="D187" s="2" t="str">
        <f t="shared" si="10"/>
        <v>Low</v>
      </c>
    </row>
    <row r="188" spans="4:4" ht="16" customHeight="1" x14ac:dyDescent="0.2">
      <c r="D188" s="2" t="str">
        <f t="shared" si="10"/>
        <v>Low</v>
      </c>
    </row>
    <row r="189" spans="4:4" ht="16" customHeight="1" x14ac:dyDescent="0.2">
      <c r="D189" s="2" t="str">
        <f t="shared" si="10"/>
        <v>Low</v>
      </c>
    </row>
    <row r="190" spans="4:4" ht="16" customHeight="1" x14ac:dyDescent="0.2">
      <c r="D190" s="2" t="str">
        <f t="shared" si="10"/>
        <v>Low</v>
      </c>
    </row>
    <row r="191" spans="4:4" ht="16" customHeight="1" x14ac:dyDescent="0.2">
      <c r="D191" s="2" t="str">
        <f t="shared" si="10"/>
        <v>Low</v>
      </c>
    </row>
    <row r="192" spans="4:4" ht="16" customHeight="1" x14ac:dyDescent="0.2">
      <c r="D192" s="2" t="str">
        <f t="shared" si="10"/>
        <v>Low</v>
      </c>
    </row>
    <row r="193" spans="4:4" ht="16" customHeight="1" x14ac:dyDescent="0.2">
      <c r="D193" s="2" t="str">
        <f t="shared" si="10"/>
        <v>Low</v>
      </c>
    </row>
    <row r="194" spans="4:4" ht="16" customHeight="1" x14ac:dyDescent="0.2">
      <c r="D194" s="2" t="str">
        <f t="shared" si="10"/>
        <v>Low</v>
      </c>
    </row>
    <row r="195" spans="4:4" ht="16" customHeight="1" x14ac:dyDescent="0.2">
      <c r="D195" s="2" t="str">
        <f t="shared" si="10"/>
        <v>Low</v>
      </c>
    </row>
    <row r="196" spans="4:4" ht="16" customHeight="1" x14ac:dyDescent="0.2">
      <c r="D196" s="2" t="str">
        <f t="shared" si="10"/>
        <v>Low</v>
      </c>
    </row>
    <row r="197" spans="4:4" ht="16" customHeight="1" x14ac:dyDescent="0.2">
      <c r="D197" s="2" t="str">
        <f t="shared" si="10"/>
        <v>Low</v>
      </c>
    </row>
    <row r="198" spans="4:4" ht="16" customHeight="1" x14ac:dyDescent="0.2">
      <c r="D198" s="2" t="str">
        <f t="shared" si="10"/>
        <v>Low</v>
      </c>
    </row>
    <row r="199" spans="4:4" ht="16" customHeight="1" x14ac:dyDescent="0.2">
      <c r="D199" s="2" t="str">
        <f t="shared" si="10"/>
        <v>Low</v>
      </c>
    </row>
    <row r="200" spans="4:4" ht="16" customHeight="1" x14ac:dyDescent="0.2">
      <c r="D200" s="2" t="str">
        <f t="shared" si="10"/>
        <v>Low</v>
      </c>
    </row>
  </sheetData>
  <mergeCells count="2">
    <mergeCell ref="A2:V2"/>
    <mergeCell ref="A1:V1"/>
  </mergeCells>
  <conditionalFormatting sqref="D4:D200">
    <cfRule type="cellIs" dxfId="5" priority="1" operator="equal">
      <formula>"Critical"</formula>
    </cfRule>
    <cfRule type="cellIs" dxfId="4" priority="2" operator="equal">
      <formula>"High"</formula>
    </cfRule>
  </conditionalFormatting>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200"/>
  <sheetViews>
    <sheetView zoomScale="210" workbookViewId="0">
      <pane xSplit="2" ySplit="3" topLeftCell="C6" activePane="bottomRight" state="frozen"/>
      <selection pane="topRight"/>
      <selection pane="bottomLeft"/>
      <selection pane="bottomRight" activeCell="C10" sqref="C10"/>
    </sheetView>
  </sheetViews>
  <sheetFormatPr baseColWidth="10" defaultColWidth="8.83203125" defaultRowHeight="15" x14ac:dyDescent="0.2"/>
  <cols>
    <col min="1" max="1" width="10" customWidth="1"/>
    <col min="2" max="2" width="16" customWidth="1"/>
    <col min="3" max="3" width="20" customWidth="1"/>
    <col min="4" max="4" width="24" customWidth="1"/>
    <col min="5" max="5" width="18" customWidth="1"/>
    <col min="6" max="6" width="24" customWidth="1"/>
    <col min="7" max="7" width="26" customWidth="1"/>
    <col min="8" max="8" width="24" customWidth="1"/>
    <col min="9" max="10" width="18" customWidth="1"/>
    <col min="11" max="11" width="20" customWidth="1"/>
    <col min="12" max="12" width="22" customWidth="1"/>
    <col min="13" max="13" width="16" customWidth="1"/>
    <col min="14" max="14" width="18" customWidth="1"/>
    <col min="15" max="15" width="24" customWidth="1"/>
    <col min="16" max="16" width="50" customWidth="1"/>
  </cols>
  <sheetData>
    <row r="1" spans="1:16" ht="26" customHeight="1" x14ac:dyDescent="0.2">
      <c r="A1" s="9" t="s">
        <v>431</v>
      </c>
      <c r="B1" s="10"/>
      <c r="C1" s="10"/>
      <c r="D1" s="10"/>
      <c r="E1" s="10"/>
      <c r="F1" s="10"/>
      <c r="G1" s="10"/>
      <c r="H1" s="10"/>
      <c r="I1" s="10"/>
      <c r="J1" s="10"/>
      <c r="K1" s="10"/>
      <c r="L1" s="10"/>
      <c r="M1" s="10"/>
      <c r="N1" s="10"/>
      <c r="O1" s="10"/>
      <c r="P1" s="10"/>
    </row>
    <row r="2" spans="1:16" x14ac:dyDescent="0.2">
      <c r="A2" s="12" t="s">
        <v>432</v>
      </c>
      <c r="B2" s="10"/>
      <c r="C2" s="10"/>
      <c r="D2" s="10"/>
      <c r="E2" s="10"/>
      <c r="F2" s="10"/>
      <c r="G2" s="10"/>
      <c r="H2" s="10"/>
      <c r="I2" s="10"/>
      <c r="J2" s="10"/>
      <c r="K2" s="10"/>
      <c r="L2" s="10"/>
      <c r="M2" s="10"/>
      <c r="N2" s="10"/>
      <c r="O2" s="10"/>
      <c r="P2" s="10"/>
    </row>
    <row r="3" spans="1:16" ht="30" customHeight="1" x14ac:dyDescent="0.2">
      <c r="A3" s="1" t="s">
        <v>255</v>
      </c>
      <c r="B3" s="1" t="s">
        <v>433</v>
      </c>
      <c r="C3" s="1" t="s">
        <v>257</v>
      </c>
      <c r="D3" s="1" t="s">
        <v>434</v>
      </c>
      <c r="E3" s="1" t="s">
        <v>435</v>
      </c>
      <c r="F3" s="1" t="s">
        <v>436</v>
      </c>
      <c r="G3" s="1" t="s">
        <v>437</v>
      </c>
      <c r="H3" s="1" t="s">
        <v>438</v>
      </c>
      <c r="I3" s="1" t="s">
        <v>439</v>
      </c>
      <c r="J3" s="1" t="s">
        <v>440</v>
      </c>
      <c r="K3" s="1" t="s">
        <v>441</v>
      </c>
      <c r="L3" s="1" t="s">
        <v>442</v>
      </c>
      <c r="M3" s="1" t="s">
        <v>443</v>
      </c>
      <c r="N3" s="1" t="s">
        <v>444</v>
      </c>
      <c r="O3" s="1" t="s">
        <v>445</v>
      </c>
      <c r="P3" s="1" t="s">
        <v>274</v>
      </c>
    </row>
    <row r="4" spans="1:16" ht="32" customHeight="1" x14ac:dyDescent="0.2">
      <c r="A4" s="2" t="str">
        <f>'AI Inventory'!A5</f>
        <v>AI-001</v>
      </c>
      <c r="B4" s="2" t="str">
        <f>'AI Inventory'!B5</f>
        <v>Microsoft</v>
      </c>
      <c r="C4" s="2" t="str">
        <f>'AI Inventory'!C5</f>
        <v>Copilot</v>
      </c>
      <c r="D4" s="2" t="s">
        <v>226</v>
      </c>
      <c r="E4" s="2" t="str">
        <f t="shared" ref="E4:E35" si="0">IF(D4="Rejected","Critical", IF(NOT(OR(D4="Approved",D4="Approved with Conditions")),"Moderate", IF(COUNTIF(F4:O4,"Yes*")/COUNTA(F4:O4)&gt;=0.8,"Low", IF(COUNTIF(F4:O4,"Yes*")/COUNTA(F4:O4)&gt;=0.5,"Moderate","High"))))</f>
        <v>Low</v>
      </c>
      <c r="F4" s="2" t="s">
        <v>446</v>
      </c>
      <c r="G4" s="2" t="s">
        <v>447</v>
      </c>
      <c r="H4" s="2" t="s">
        <v>448</v>
      </c>
      <c r="I4" s="2" t="s">
        <v>449</v>
      </c>
      <c r="J4" s="2" t="s">
        <v>282</v>
      </c>
      <c r="K4" s="2" t="s">
        <v>282</v>
      </c>
      <c r="L4" s="2" t="s">
        <v>282</v>
      </c>
      <c r="M4" s="2" t="s">
        <v>450</v>
      </c>
      <c r="N4" s="2" t="s">
        <v>451</v>
      </c>
      <c r="O4" s="2" t="s">
        <v>452</v>
      </c>
      <c r="P4" s="2" t="s">
        <v>453</v>
      </c>
    </row>
    <row r="5" spans="1:16" ht="32" customHeight="1" x14ac:dyDescent="0.2">
      <c r="A5" s="2" t="str">
        <f>'AI Inventory'!A6</f>
        <v>AI-002</v>
      </c>
      <c r="B5" s="2" t="str">
        <f>'AI Inventory'!B6</f>
        <v>Anthropic</v>
      </c>
      <c r="C5" s="2" t="str">
        <f>'AI Inventory'!C6</f>
        <v>Claude AI</v>
      </c>
      <c r="D5" s="2" t="s">
        <v>226</v>
      </c>
      <c r="E5" s="2" t="str">
        <f t="shared" si="0"/>
        <v>Moderate</v>
      </c>
      <c r="F5" s="2" t="s">
        <v>292</v>
      </c>
      <c r="G5" s="2" t="s">
        <v>447</v>
      </c>
      <c r="H5" s="2" t="s">
        <v>448</v>
      </c>
      <c r="I5" s="2" t="s">
        <v>449</v>
      </c>
      <c r="J5" s="2" t="s">
        <v>454</v>
      </c>
      <c r="K5" s="2" t="s">
        <v>282</v>
      </c>
      <c r="L5" s="2" t="s">
        <v>282</v>
      </c>
      <c r="M5" s="2" t="s">
        <v>455</v>
      </c>
      <c r="N5" s="2" t="s">
        <v>456</v>
      </c>
      <c r="O5" s="2" t="s">
        <v>452</v>
      </c>
      <c r="P5" s="2" t="s">
        <v>453</v>
      </c>
    </row>
    <row r="6" spans="1:16" ht="32" customHeight="1" x14ac:dyDescent="0.2">
      <c r="A6" s="2" t="str">
        <f>'AI Inventory'!A7</f>
        <v>AI-003</v>
      </c>
      <c r="B6" s="2" t="str">
        <f>'AI Inventory'!B7</f>
        <v>SomeGPT.ai</v>
      </c>
      <c r="C6" s="2" t="str">
        <f>'AI Inventory'!C7</f>
        <v>JMP Learnbot</v>
      </c>
      <c r="D6" s="2" t="s">
        <v>226</v>
      </c>
      <c r="E6" s="2" t="str">
        <f t="shared" si="0"/>
        <v>Moderate</v>
      </c>
      <c r="F6" s="2" t="s">
        <v>292</v>
      </c>
      <c r="G6" s="2" t="s">
        <v>292</v>
      </c>
      <c r="H6" s="2" t="s">
        <v>457</v>
      </c>
      <c r="I6" s="2" t="s">
        <v>449</v>
      </c>
      <c r="J6" s="2" t="s">
        <v>454</v>
      </c>
      <c r="K6" s="2" t="s">
        <v>282</v>
      </c>
      <c r="L6" s="2" t="s">
        <v>282</v>
      </c>
      <c r="M6" s="2" t="s">
        <v>292</v>
      </c>
      <c r="N6" s="2" t="s">
        <v>292</v>
      </c>
      <c r="O6" s="2" t="s">
        <v>420</v>
      </c>
      <c r="P6" s="2" t="s">
        <v>453</v>
      </c>
    </row>
    <row r="7" spans="1:16" ht="32" customHeight="1" x14ac:dyDescent="0.2">
      <c r="A7" s="2" t="str">
        <f>'AI Inventory'!A8</f>
        <v>AI-004</v>
      </c>
      <c r="B7" s="2" t="str">
        <f>'AI Inventory'!B8</f>
        <v>Synthesia</v>
      </c>
      <c r="C7" s="2" t="str">
        <f>'AI Inventory'!C8</f>
        <v>Synthesia</v>
      </c>
      <c r="D7" s="2" t="s">
        <v>226</v>
      </c>
      <c r="E7" s="2" t="str">
        <f t="shared" si="0"/>
        <v>Low</v>
      </c>
      <c r="F7" s="2" t="s">
        <v>457</v>
      </c>
      <c r="G7" s="2" t="s">
        <v>458</v>
      </c>
      <c r="H7" s="2" t="s">
        <v>457</v>
      </c>
      <c r="I7" s="2" t="s">
        <v>449</v>
      </c>
      <c r="J7" s="2" t="s">
        <v>454</v>
      </c>
      <c r="K7" s="2" t="s">
        <v>282</v>
      </c>
      <c r="L7" s="2" t="s">
        <v>282</v>
      </c>
      <c r="M7" s="2" t="s">
        <v>459</v>
      </c>
      <c r="N7" s="2" t="s">
        <v>292</v>
      </c>
      <c r="O7" s="2" t="s">
        <v>460</v>
      </c>
      <c r="P7" s="2" t="s">
        <v>453</v>
      </c>
    </row>
    <row r="8" spans="1:16" ht="32" customHeight="1" x14ac:dyDescent="0.2">
      <c r="A8" s="2" t="str">
        <f>'AI Inventory'!A9</f>
        <v>AI-005</v>
      </c>
      <c r="B8" s="2" t="str">
        <f>'AI Inventory'!B9</f>
        <v>Levy AI</v>
      </c>
      <c r="C8" s="2" t="str">
        <f>'AI Inventory'!C9</f>
        <v>Levy AI</v>
      </c>
      <c r="D8" s="2" t="s">
        <v>407</v>
      </c>
      <c r="E8" s="2" t="str">
        <f t="shared" si="0"/>
        <v>Moderate</v>
      </c>
      <c r="F8" s="2" t="s">
        <v>420</v>
      </c>
      <c r="G8" s="2" t="s">
        <v>420</v>
      </c>
      <c r="H8" s="2" t="s">
        <v>420</v>
      </c>
      <c r="I8" s="2" t="s">
        <v>420</v>
      </c>
      <c r="J8" s="2" t="s">
        <v>420</v>
      </c>
      <c r="K8" s="2" t="s">
        <v>420</v>
      </c>
      <c r="L8" s="2" t="s">
        <v>420</v>
      </c>
      <c r="M8" s="2" t="s">
        <v>420</v>
      </c>
      <c r="N8" s="2" t="s">
        <v>292</v>
      </c>
      <c r="O8" s="2" t="s">
        <v>461</v>
      </c>
      <c r="P8" s="2" t="s">
        <v>453</v>
      </c>
    </row>
    <row r="9" spans="1:16" ht="32" customHeight="1" x14ac:dyDescent="0.2">
      <c r="A9" s="2" t="str">
        <f>'AI Inventory'!A10</f>
        <v>AI-006</v>
      </c>
      <c r="B9" s="2" t="str">
        <f>'AI Inventory'!B10</f>
        <v>Startreck.AI</v>
      </c>
      <c r="C9" s="2" t="str">
        <f>'AI Inventory'!C10</f>
        <v>Startreck.AI</v>
      </c>
      <c r="D9" s="2" t="s">
        <v>230</v>
      </c>
      <c r="E9" s="2" t="str">
        <f t="shared" si="0"/>
        <v>Critical</v>
      </c>
      <c r="F9" s="2" t="s">
        <v>420</v>
      </c>
      <c r="G9" s="2" t="s">
        <v>420</v>
      </c>
      <c r="H9" s="2" t="s">
        <v>420</v>
      </c>
      <c r="I9" s="2" t="s">
        <v>420</v>
      </c>
      <c r="J9" s="2" t="s">
        <v>420</v>
      </c>
      <c r="K9" s="2" t="s">
        <v>420</v>
      </c>
      <c r="L9" s="2" t="s">
        <v>420</v>
      </c>
      <c r="M9" s="2" t="s">
        <v>420</v>
      </c>
      <c r="N9" s="2" t="s">
        <v>292</v>
      </c>
      <c r="O9" s="2" t="s">
        <v>460</v>
      </c>
      <c r="P9" s="2" t="s">
        <v>453</v>
      </c>
    </row>
    <row r="10" spans="1:16" ht="48" customHeight="1" x14ac:dyDescent="0.2">
      <c r="A10" s="2" t="str">
        <f>'AI Inventory'!A11</f>
        <v>AI-007</v>
      </c>
      <c r="B10" s="2" t="str">
        <f>'AI Inventory'!B11</f>
        <v>SAMPLE AI</v>
      </c>
      <c r="C10" s="2" t="str">
        <f>'AI Inventory'!C11</f>
        <v>Potential Hazard Navigator</v>
      </c>
      <c r="D10" s="2" t="s">
        <v>226</v>
      </c>
      <c r="E10" s="2" t="str">
        <f t="shared" si="0"/>
        <v>High</v>
      </c>
      <c r="F10" s="2" t="s">
        <v>292</v>
      </c>
      <c r="G10" s="2" t="s">
        <v>292</v>
      </c>
      <c r="H10" s="2" t="s">
        <v>292</v>
      </c>
      <c r="I10" s="2" t="s">
        <v>292</v>
      </c>
      <c r="J10" s="2" t="s">
        <v>292</v>
      </c>
      <c r="K10" s="2" t="s">
        <v>282</v>
      </c>
      <c r="L10" s="2" t="s">
        <v>282</v>
      </c>
      <c r="M10" s="2" t="s">
        <v>282</v>
      </c>
      <c r="N10" s="2" t="s">
        <v>292</v>
      </c>
      <c r="O10" s="2" t="s">
        <v>461</v>
      </c>
      <c r="P10" s="2" t="s">
        <v>462</v>
      </c>
    </row>
    <row r="11" spans="1:16" ht="16" customHeight="1" x14ac:dyDescent="0.2">
      <c r="E11" s="2" t="str">
        <f t="shared" si="0"/>
        <v>Moderate</v>
      </c>
    </row>
    <row r="12" spans="1:16" ht="16" customHeight="1" x14ac:dyDescent="0.2">
      <c r="E12" s="2" t="str">
        <f t="shared" si="0"/>
        <v>Moderate</v>
      </c>
    </row>
    <row r="13" spans="1:16" ht="16" customHeight="1" x14ac:dyDescent="0.2">
      <c r="E13" s="2" t="str">
        <f t="shared" si="0"/>
        <v>Moderate</v>
      </c>
    </row>
    <row r="14" spans="1:16" ht="16" customHeight="1" x14ac:dyDescent="0.2">
      <c r="E14" s="2" t="str">
        <f t="shared" si="0"/>
        <v>Moderate</v>
      </c>
    </row>
    <row r="15" spans="1:16" ht="16" customHeight="1" x14ac:dyDescent="0.2">
      <c r="E15" s="2" t="str">
        <f t="shared" si="0"/>
        <v>Moderate</v>
      </c>
    </row>
    <row r="16" spans="1:16" ht="16" customHeight="1" x14ac:dyDescent="0.2">
      <c r="E16" s="2" t="str">
        <f t="shared" si="0"/>
        <v>Moderate</v>
      </c>
    </row>
    <row r="17" spans="5:5" ht="16" customHeight="1" x14ac:dyDescent="0.2">
      <c r="E17" s="2" t="str">
        <f t="shared" si="0"/>
        <v>Moderate</v>
      </c>
    </row>
    <row r="18" spans="5:5" ht="16" customHeight="1" x14ac:dyDescent="0.2">
      <c r="E18" s="2" t="str">
        <f t="shared" si="0"/>
        <v>Moderate</v>
      </c>
    </row>
    <row r="19" spans="5:5" ht="16" customHeight="1" x14ac:dyDescent="0.2">
      <c r="E19" s="2" t="str">
        <f t="shared" si="0"/>
        <v>Moderate</v>
      </c>
    </row>
    <row r="20" spans="5:5" ht="16" customHeight="1" x14ac:dyDescent="0.2">
      <c r="E20" s="2" t="str">
        <f t="shared" si="0"/>
        <v>Moderate</v>
      </c>
    </row>
    <row r="21" spans="5:5" ht="16" customHeight="1" x14ac:dyDescent="0.2">
      <c r="E21" s="2" t="str">
        <f t="shared" si="0"/>
        <v>Moderate</v>
      </c>
    </row>
    <row r="22" spans="5:5" ht="16" customHeight="1" x14ac:dyDescent="0.2">
      <c r="E22" s="2" t="str">
        <f t="shared" si="0"/>
        <v>Moderate</v>
      </c>
    </row>
    <row r="23" spans="5:5" ht="16" customHeight="1" x14ac:dyDescent="0.2">
      <c r="E23" s="2" t="str">
        <f t="shared" si="0"/>
        <v>Moderate</v>
      </c>
    </row>
    <row r="24" spans="5:5" ht="16" customHeight="1" x14ac:dyDescent="0.2">
      <c r="E24" s="2" t="str">
        <f t="shared" si="0"/>
        <v>Moderate</v>
      </c>
    </row>
    <row r="25" spans="5:5" ht="16" customHeight="1" x14ac:dyDescent="0.2">
      <c r="E25" s="2" t="str">
        <f t="shared" si="0"/>
        <v>Moderate</v>
      </c>
    </row>
    <row r="26" spans="5:5" ht="16" customHeight="1" x14ac:dyDescent="0.2">
      <c r="E26" s="2" t="str">
        <f t="shared" si="0"/>
        <v>Moderate</v>
      </c>
    </row>
    <row r="27" spans="5:5" ht="16" customHeight="1" x14ac:dyDescent="0.2">
      <c r="E27" s="2" t="str">
        <f t="shared" si="0"/>
        <v>Moderate</v>
      </c>
    </row>
    <row r="28" spans="5:5" ht="16" customHeight="1" x14ac:dyDescent="0.2">
      <c r="E28" s="2" t="str">
        <f t="shared" si="0"/>
        <v>Moderate</v>
      </c>
    </row>
    <row r="29" spans="5:5" ht="16" customHeight="1" x14ac:dyDescent="0.2">
      <c r="E29" s="2" t="str">
        <f t="shared" si="0"/>
        <v>Moderate</v>
      </c>
    </row>
    <row r="30" spans="5:5" ht="16" customHeight="1" x14ac:dyDescent="0.2">
      <c r="E30" s="2" t="str">
        <f t="shared" si="0"/>
        <v>Moderate</v>
      </c>
    </row>
    <row r="31" spans="5:5" ht="16" customHeight="1" x14ac:dyDescent="0.2">
      <c r="E31" s="2" t="str">
        <f t="shared" si="0"/>
        <v>Moderate</v>
      </c>
    </row>
    <row r="32" spans="5:5" ht="16" customHeight="1" x14ac:dyDescent="0.2">
      <c r="E32" s="2" t="str">
        <f t="shared" si="0"/>
        <v>Moderate</v>
      </c>
    </row>
    <row r="33" spans="5:5" ht="16" customHeight="1" x14ac:dyDescent="0.2">
      <c r="E33" s="2" t="str">
        <f t="shared" si="0"/>
        <v>Moderate</v>
      </c>
    </row>
    <row r="34" spans="5:5" ht="16" customHeight="1" x14ac:dyDescent="0.2">
      <c r="E34" s="2" t="str">
        <f t="shared" si="0"/>
        <v>Moderate</v>
      </c>
    </row>
    <row r="35" spans="5:5" ht="16" customHeight="1" x14ac:dyDescent="0.2">
      <c r="E35" s="2" t="str">
        <f t="shared" si="0"/>
        <v>Moderate</v>
      </c>
    </row>
    <row r="36" spans="5:5" ht="16" customHeight="1" x14ac:dyDescent="0.2">
      <c r="E36" s="2" t="str">
        <f t="shared" ref="E36:E67" si="1">IF(D36="Rejected","Critical", IF(NOT(OR(D36="Approved",D36="Approved with Conditions")),"Moderate", IF(COUNTIF(F36:O36,"Yes*")/COUNTA(F36:O36)&gt;=0.8,"Low", IF(COUNTIF(F36:O36,"Yes*")/COUNTA(F36:O36)&gt;=0.5,"Moderate","High"))))</f>
        <v>Moderate</v>
      </c>
    </row>
    <row r="37" spans="5:5" ht="16" customHeight="1" x14ac:dyDescent="0.2">
      <c r="E37" s="2" t="str">
        <f t="shared" si="1"/>
        <v>Moderate</v>
      </c>
    </row>
    <row r="38" spans="5:5" ht="16" customHeight="1" x14ac:dyDescent="0.2">
      <c r="E38" s="2" t="str">
        <f t="shared" si="1"/>
        <v>Moderate</v>
      </c>
    </row>
    <row r="39" spans="5:5" ht="16" customHeight="1" x14ac:dyDescent="0.2">
      <c r="E39" s="2" t="str">
        <f t="shared" si="1"/>
        <v>Moderate</v>
      </c>
    </row>
    <row r="40" spans="5:5" ht="16" customHeight="1" x14ac:dyDescent="0.2">
      <c r="E40" s="2" t="str">
        <f t="shared" si="1"/>
        <v>Moderate</v>
      </c>
    </row>
    <row r="41" spans="5:5" ht="16" customHeight="1" x14ac:dyDescent="0.2">
      <c r="E41" s="2" t="str">
        <f t="shared" si="1"/>
        <v>Moderate</v>
      </c>
    </row>
    <row r="42" spans="5:5" ht="16" customHeight="1" x14ac:dyDescent="0.2">
      <c r="E42" s="2" t="str">
        <f t="shared" si="1"/>
        <v>Moderate</v>
      </c>
    </row>
    <row r="43" spans="5:5" ht="16" customHeight="1" x14ac:dyDescent="0.2">
      <c r="E43" s="2" t="str">
        <f t="shared" si="1"/>
        <v>Moderate</v>
      </c>
    </row>
    <row r="44" spans="5:5" ht="16" customHeight="1" x14ac:dyDescent="0.2">
      <c r="E44" s="2" t="str">
        <f t="shared" si="1"/>
        <v>Moderate</v>
      </c>
    </row>
    <row r="45" spans="5:5" ht="16" customHeight="1" x14ac:dyDescent="0.2">
      <c r="E45" s="2" t="str">
        <f t="shared" si="1"/>
        <v>Moderate</v>
      </c>
    </row>
    <row r="46" spans="5:5" ht="16" customHeight="1" x14ac:dyDescent="0.2">
      <c r="E46" s="2" t="str">
        <f t="shared" si="1"/>
        <v>Moderate</v>
      </c>
    </row>
    <row r="47" spans="5:5" ht="16" customHeight="1" x14ac:dyDescent="0.2">
      <c r="E47" s="2" t="str">
        <f t="shared" si="1"/>
        <v>Moderate</v>
      </c>
    </row>
    <row r="48" spans="5:5" ht="16" customHeight="1" x14ac:dyDescent="0.2">
      <c r="E48" s="2" t="str">
        <f t="shared" si="1"/>
        <v>Moderate</v>
      </c>
    </row>
    <row r="49" spans="5:5" ht="16" customHeight="1" x14ac:dyDescent="0.2">
      <c r="E49" s="2" t="str">
        <f t="shared" si="1"/>
        <v>Moderate</v>
      </c>
    </row>
    <row r="50" spans="5:5" ht="16" customHeight="1" x14ac:dyDescent="0.2">
      <c r="E50" s="2" t="str">
        <f t="shared" si="1"/>
        <v>Moderate</v>
      </c>
    </row>
    <row r="51" spans="5:5" ht="16" customHeight="1" x14ac:dyDescent="0.2">
      <c r="E51" s="2" t="str">
        <f t="shared" si="1"/>
        <v>Moderate</v>
      </c>
    </row>
    <row r="52" spans="5:5" ht="16" customHeight="1" x14ac:dyDescent="0.2">
      <c r="E52" s="2" t="str">
        <f t="shared" si="1"/>
        <v>Moderate</v>
      </c>
    </row>
    <row r="53" spans="5:5" ht="16" customHeight="1" x14ac:dyDescent="0.2">
      <c r="E53" s="2" t="str">
        <f t="shared" si="1"/>
        <v>Moderate</v>
      </c>
    </row>
    <row r="54" spans="5:5" ht="16" customHeight="1" x14ac:dyDescent="0.2">
      <c r="E54" s="2" t="str">
        <f t="shared" si="1"/>
        <v>Moderate</v>
      </c>
    </row>
    <row r="55" spans="5:5" ht="16" customHeight="1" x14ac:dyDescent="0.2">
      <c r="E55" s="2" t="str">
        <f t="shared" si="1"/>
        <v>Moderate</v>
      </c>
    </row>
    <row r="56" spans="5:5" ht="16" customHeight="1" x14ac:dyDescent="0.2">
      <c r="E56" s="2" t="str">
        <f t="shared" si="1"/>
        <v>Moderate</v>
      </c>
    </row>
    <row r="57" spans="5:5" ht="16" customHeight="1" x14ac:dyDescent="0.2">
      <c r="E57" s="2" t="str">
        <f t="shared" si="1"/>
        <v>Moderate</v>
      </c>
    </row>
    <row r="58" spans="5:5" ht="16" customHeight="1" x14ac:dyDescent="0.2">
      <c r="E58" s="2" t="str">
        <f t="shared" si="1"/>
        <v>Moderate</v>
      </c>
    </row>
    <row r="59" spans="5:5" ht="16" customHeight="1" x14ac:dyDescent="0.2">
      <c r="E59" s="2" t="str">
        <f t="shared" si="1"/>
        <v>Moderate</v>
      </c>
    </row>
    <row r="60" spans="5:5" ht="16" customHeight="1" x14ac:dyDescent="0.2">
      <c r="E60" s="2" t="str">
        <f t="shared" si="1"/>
        <v>Moderate</v>
      </c>
    </row>
    <row r="61" spans="5:5" ht="16" customHeight="1" x14ac:dyDescent="0.2">
      <c r="E61" s="2" t="str">
        <f t="shared" si="1"/>
        <v>Moderate</v>
      </c>
    </row>
    <row r="62" spans="5:5" ht="16" customHeight="1" x14ac:dyDescent="0.2">
      <c r="E62" s="2" t="str">
        <f t="shared" si="1"/>
        <v>Moderate</v>
      </c>
    </row>
    <row r="63" spans="5:5" ht="16" customHeight="1" x14ac:dyDescent="0.2">
      <c r="E63" s="2" t="str">
        <f t="shared" si="1"/>
        <v>Moderate</v>
      </c>
    </row>
    <row r="64" spans="5:5" ht="16" customHeight="1" x14ac:dyDescent="0.2">
      <c r="E64" s="2" t="str">
        <f t="shared" si="1"/>
        <v>Moderate</v>
      </c>
    </row>
    <row r="65" spans="5:5" ht="16" customHeight="1" x14ac:dyDescent="0.2">
      <c r="E65" s="2" t="str">
        <f t="shared" si="1"/>
        <v>Moderate</v>
      </c>
    </row>
    <row r="66" spans="5:5" ht="16" customHeight="1" x14ac:dyDescent="0.2">
      <c r="E66" s="2" t="str">
        <f t="shared" si="1"/>
        <v>Moderate</v>
      </c>
    </row>
    <row r="67" spans="5:5" ht="16" customHeight="1" x14ac:dyDescent="0.2">
      <c r="E67" s="2" t="str">
        <f t="shared" si="1"/>
        <v>Moderate</v>
      </c>
    </row>
    <row r="68" spans="5:5" ht="16" customHeight="1" x14ac:dyDescent="0.2">
      <c r="E68" s="2" t="str">
        <f t="shared" ref="E68:E99" si="2">IF(D68="Rejected","Critical", IF(NOT(OR(D68="Approved",D68="Approved with Conditions")),"Moderate", IF(COUNTIF(F68:O68,"Yes*")/COUNTA(F68:O68)&gt;=0.8,"Low", IF(COUNTIF(F68:O68,"Yes*")/COUNTA(F68:O68)&gt;=0.5,"Moderate","High"))))</f>
        <v>Moderate</v>
      </c>
    </row>
    <row r="69" spans="5:5" ht="16" customHeight="1" x14ac:dyDescent="0.2">
      <c r="E69" s="2" t="str">
        <f t="shared" si="2"/>
        <v>Moderate</v>
      </c>
    </row>
    <row r="70" spans="5:5" ht="16" customHeight="1" x14ac:dyDescent="0.2">
      <c r="E70" s="2" t="str">
        <f t="shared" si="2"/>
        <v>Moderate</v>
      </c>
    </row>
    <row r="71" spans="5:5" ht="16" customHeight="1" x14ac:dyDescent="0.2">
      <c r="E71" s="2" t="str">
        <f t="shared" si="2"/>
        <v>Moderate</v>
      </c>
    </row>
    <row r="72" spans="5:5" ht="16" customHeight="1" x14ac:dyDescent="0.2">
      <c r="E72" s="2" t="str">
        <f t="shared" si="2"/>
        <v>Moderate</v>
      </c>
    </row>
    <row r="73" spans="5:5" ht="16" customHeight="1" x14ac:dyDescent="0.2">
      <c r="E73" s="2" t="str">
        <f t="shared" si="2"/>
        <v>Moderate</v>
      </c>
    </row>
    <row r="74" spans="5:5" ht="16" customHeight="1" x14ac:dyDescent="0.2">
      <c r="E74" s="2" t="str">
        <f t="shared" si="2"/>
        <v>Moderate</v>
      </c>
    </row>
    <row r="75" spans="5:5" ht="16" customHeight="1" x14ac:dyDescent="0.2">
      <c r="E75" s="2" t="str">
        <f t="shared" si="2"/>
        <v>Moderate</v>
      </c>
    </row>
    <row r="76" spans="5:5" ht="16" customHeight="1" x14ac:dyDescent="0.2">
      <c r="E76" s="2" t="str">
        <f t="shared" si="2"/>
        <v>Moderate</v>
      </c>
    </row>
    <row r="77" spans="5:5" ht="16" customHeight="1" x14ac:dyDescent="0.2">
      <c r="E77" s="2" t="str">
        <f t="shared" si="2"/>
        <v>Moderate</v>
      </c>
    </row>
    <row r="78" spans="5:5" ht="16" customHeight="1" x14ac:dyDescent="0.2">
      <c r="E78" s="2" t="str">
        <f t="shared" si="2"/>
        <v>Moderate</v>
      </c>
    </row>
    <row r="79" spans="5:5" ht="16" customHeight="1" x14ac:dyDescent="0.2">
      <c r="E79" s="2" t="str">
        <f t="shared" si="2"/>
        <v>Moderate</v>
      </c>
    </row>
    <row r="80" spans="5:5" ht="16" customHeight="1" x14ac:dyDescent="0.2">
      <c r="E80" s="2" t="str">
        <f t="shared" si="2"/>
        <v>Moderate</v>
      </c>
    </row>
    <row r="81" spans="5:5" ht="16" customHeight="1" x14ac:dyDescent="0.2">
      <c r="E81" s="2" t="str">
        <f t="shared" si="2"/>
        <v>Moderate</v>
      </c>
    </row>
    <row r="82" spans="5:5" ht="16" customHeight="1" x14ac:dyDescent="0.2">
      <c r="E82" s="2" t="str">
        <f t="shared" si="2"/>
        <v>Moderate</v>
      </c>
    </row>
    <row r="83" spans="5:5" ht="16" customHeight="1" x14ac:dyDescent="0.2">
      <c r="E83" s="2" t="str">
        <f t="shared" si="2"/>
        <v>Moderate</v>
      </c>
    </row>
    <row r="84" spans="5:5" ht="16" customHeight="1" x14ac:dyDescent="0.2">
      <c r="E84" s="2" t="str">
        <f t="shared" si="2"/>
        <v>Moderate</v>
      </c>
    </row>
    <row r="85" spans="5:5" ht="16" customHeight="1" x14ac:dyDescent="0.2">
      <c r="E85" s="2" t="str">
        <f t="shared" si="2"/>
        <v>Moderate</v>
      </c>
    </row>
    <row r="86" spans="5:5" ht="16" customHeight="1" x14ac:dyDescent="0.2">
      <c r="E86" s="2" t="str">
        <f t="shared" si="2"/>
        <v>Moderate</v>
      </c>
    </row>
    <row r="87" spans="5:5" ht="16" customHeight="1" x14ac:dyDescent="0.2">
      <c r="E87" s="2" t="str">
        <f t="shared" si="2"/>
        <v>Moderate</v>
      </c>
    </row>
    <row r="88" spans="5:5" ht="16" customHeight="1" x14ac:dyDescent="0.2">
      <c r="E88" s="2" t="str">
        <f t="shared" si="2"/>
        <v>Moderate</v>
      </c>
    </row>
    <row r="89" spans="5:5" ht="16" customHeight="1" x14ac:dyDescent="0.2">
      <c r="E89" s="2" t="str">
        <f t="shared" si="2"/>
        <v>Moderate</v>
      </c>
    </row>
    <row r="90" spans="5:5" ht="16" customHeight="1" x14ac:dyDescent="0.2">
      <c r="E90" s="2" t="str">
        <f t="shared" si="2"/>
        <v>Moderate</v>
      </c>
    </row>
    <row r="91" spans="5:5" ht="16" customHeight="1" x14ac:dyDescent="0.2">
      <c r="E91" s="2" t="str">
        <f t="shared" si="2"/>
        <v>Moderate</v>
      </c>
    </row>
    <row r="92" spans="5:5" ht="16" customHeight="1" x14ac:dyDescent="0.2">
      <c r="E92" s="2" t="str">
        <f t="shared" si="2"/>
        <v>Moderate</v>
      </c>
    </row>
    <row r="93" spans="5:5" ht="16" customHeight="1" x14ac:dyDescent="0.2">
      <c r="E93" s="2" t="str">
        <f t="shared" si="2"/>
        <v>Moderate</v>
      </c>
    </row>
    <row r="94" spans="5:5" ht="16" customHeight="1" x14ac:dyDescent="0.2">
      <c r="E94" s="2" t="str">
        <f t="shared" si="2"/>
        <v>Moderate</v>
      </c>
    </row>
    <row r="95" spans="5:5" ht="16" customHeight="1" x14ac:dyDescent="0.2">
      <c r="E95" s="2" t="str">
        <f t="shared" si="2"/>
        <v>Moderate</v>
      </c>
    </row>
    <row r="96" spans="5:5" ht="16" customHeight="1" x14ac:dyDescent="0.2">
      <c r="E96" s="2" t="str">
        <f t="shared" si="2"/>
        <v>Moderate</v>
      </c>
    </row>
    <row r="97" spans="5:5" ht="16" customHeight="1" x14ac:dyDescent="0.2">
      <c r="E97" s="2" t="str">
        <f t="shared" si="2"/>
        <v>Moderate</v>
      </c>
    </row>
    <row r="98" spans="5:5" ht="16" customHeight="1" x14ac:dyDescent="0.2">
      <c r="E98" s="2" t="str">
        <f t="shared" si="2"/>
        <v>Moderate</v>
      </c>
    </row>
    <row r="99" spans="5:5" ht="16" customHeight="1" x14ac:dyDescent="0.2">
      <c r="E99" s="2" t="str">
        <f t="shared" si="2"/>
        <v>Moderate</v>
      </c>
    </row>
    <row r="100" spans="5:5" ht="16" customHeight="1" x14ac:dyDescent="0.2">
      <c r="E100" s="2" t="str">
        <f t="shared" ref="E100:E131" si="3">IF(D100="Rejected","Critical", IF(NOT(OR(D100="Approved",D100="Approved with Conditions")),"Moderate", IF(COUNTIF(F100:O100,"Yes*")/COUNTA(F100:O100)&gt;=0.8,"Low", IF(COUNTIF(F100:O100,"Yes*")/COUNTA(F100:O100)&gt;=0.5,"Moderate","High"))))</f>
        <v>Moderate</v>
      </c>
    </row>
    <row r="101" spans="5:5" ht="16" customHeight="1" x14ac:dyDescent="0.2">
      <c r="E101" s="2" t="str">
        <f t="shared" si="3"/>
        <v>Moderate</v>
      </c>
    </row>
    <row r="102" spans="5:5" ht="16" customHeight="1" x14ac:dyDescent="0.2">
      <c r="E102" s="2" t="str">
        <f t="shared" si="3"/>
        <v>Moderate</v>
      </c>
    </row>
    <row r="103" spans="5:5" ht="16" customHeight="1" x14ac:dyDescent="0.2">
      <c r="E103" s="2" t="str">
        <f t="shared" si="3"/>
        <v>Moderate</v>
      </c>
    </row>
    <row r="104" spans="5:5" ht="16" customHeight="1" x14ac:dyDescent="0.2">
      <c r="E104" s="2" t="str">
        <f t="shared" si="3"/>
        <v>Moderate</v>
      </c>
    </row>
    <row r="105" spans="5:5" ht="16" customHeight="1" x14ac:dyDescent="0.2">
      <c r="E105" s="2" t="str">
        <f t="shared" si="3"/>
        <v>Moderate</v>
      </c>
    </row>
    <row r="106" spans="5:5" ht="16" customHeight="1" x14ac:dyDescent="0.2">
      <c r="E106" s="2" t="str">
        <f t="shared" si="3"/>
        <v>Moderate</v>
      </c>
    </row>
    <row r="107" spans="5:5" ht="16" customHeight="1" x14ac:dyDescent="0.2">
      <c r="E107" s="2" t="str">
        <f t="shared" si="3"/>
        <v>Moderate</v>
      </c>
    </row>
    <row r="108" spans="5:5" ht="16" customHeight="1" x14ac:dyDescent="0.2">
      <c r="E108" s="2" t="str">
        <f t="shared" si="3"/>
        <v>Moderate</v>
      </c>
    </row>
    <row r="109" spans="5:5" ht="16" customHeight="1" x14ac:dyDescent="0.2">
      <c r="E109" s="2" t="str">
        <f t="shared" si="3"/>
        <v>Moderate</v>
      </c>
    </row>
    <row r="110" spans="5:5" ht="16" customHeight="1" x14ac:dyDescent="0.2">
      <c r="E110" s="2" t="str">
        <f t="shared" si="3"/>
        <v>Moderate</v>
      </c>
    </row>
    <row r="111" spans="5:5" ht="16" customHeight="1" x14ac:dyDescent="0.2">
      <c r="E111" s="2" t="str">
        <f t="shared" si="3"/>
        <v>Moderate</v>
      </c>
    </row>
    <row r="112" spans="5:5" ht="16" customHeight="1" x14ac:dyDescent="0.2">
      <c r="E112" s="2" t="str">
        <f t="shared" si="3"/>
        <v>Moderate</v>
      </c>
    </row>
    <row r="113" spans="5:5" ht="16" customHeight="1" x14ac:dyDescent="0.2">
      <c r="E113" s="2" t="str">
        <f t="shared" si="3"/>
        <v>Moderate</v>
      </c>
    </row>
    <row r="114" spans="5:5" ht="16" customHeight="1" x14ac:dyDescent="0.2">
      <c r="E114" s="2" t="str">
        <f t="shared" si="3"/>
        <v>Moderate</v>
      </c>
    </row>
    <row r="115" spans="5:5" ht="16" customHeight="1" x14ac:dyDescent="0.2">
      <c r="E115" s="2" t="str">
        <f t="shared" si="3"/>
        <v>Moderate</v>
      </c>
    </row>
    <row r="116" spans="5:5" ht="16" customHeight="1" x14ac:dyDescent="0.2">
      <c r="E116" s="2" t="str">
        <f t="shared" si="3"/>
        <v>Moderate</v>
      </c>
    </row>
    <row r="117" spans="5:5" ht="16" customHeight="1" x14ac:dyDescent="0.2">
      <c r="E117" s="2" t="str">
        <f t="shared" si="3"/>
        <v>Moderate</v>
      </c>
    </row>
    <row r="118" spans="5:5" ht="16" customHeight="1" x14ac:dyDescent="0.2">
      <c r="E118" s="2" t="str">
        <f t="shared" si="3"/>
        <v>Moderate</v>
      </c>
    </row>
    <row r="119" spans="5:5" ht="16" customHeight="1" x14ac:dyDescent="0.2">
      <c r="E119" s="2" t="str">
        <f t="shared" si="3"/>
        <v>Moderate</v>
      </c>
    </row>
    <row r="120" spans="5:5" ht="16" customHeight="1" x14ac:dyDescent="0.2">
      <c r="E120" s="2" t="str">
        <f t="shared" si="3"/>
        <v>Moderate</v>
      </c>
    </row>
    <row r="121" spans="5:5" ht="16" customHeight="1" x14ac:dyDescent="0.2">
      <c r="E121" s="2" t="str">
        <f t="shared" si="3"/>
        <v>Moderate</v>
      </c>
    </row>
    <row r="122" spans="5:5" ht="16" customHeight="1" x14ac:dyDescent="0.2">
      <c r="E122" s="2" t="str">
        <f t="shared" si="3"/>
        <v>Moderate</v>
      </c>
    </row>
    <row r="123" spans="5:5" ht="16" customHeight="1" x14ac:dyDescent="0.2">
      <c r="E123" s="2" t="str">
        <f t="shared" si="3"/>
        <v>Moderate</v>
      </c>
    </row>
    <row r="124" spans="5:5" ht="16" customHeight="1" x14ac:dyDescent="0.2">
      <c r="E124" s="2" t="str">
        <f t="shared" si="3"/>
        <v>Moderate</v>
      </c>
    </row>
    <row r="125" spans="5:5" ht="16" customHeight="1" x14ac:dyDescent="0.2">
      <c r="E125" s="2" t="str">
        <f t="shared" si="3"/>
        <v>Moderate</v>
      </c>
    </row>
    <row r="126" spans="5:5" ht="16" customHeight="1" x14ac:dyDescent="0.2">
      <c r="E126" s="2" t="str">
        <f t="shared" si="3"/>
        <v>Moderate</v>
      </c>
    </row>
    <row r="127" spans="5:5" ht="16" customHeight="1" x14ac:dyDescent="0.2">
      <c r="E127" s="2" t="str">
        <f t="shared" si="3"/>
        <v>Moderate</v>
      </c>
    </row>
    <row r="128" spans="5:5" ht="16" customHeight="1" x14ac:dyDescent="0.2">
      <c r="E128" s="2" t="str">
        <f t="shared" si="3"/>
        <v>Moderate</v>
      </c>
    </row>
    <row r="129" spans="5:5" ht="16" customHeight="1" x14ac:dyDescent="0.2">
      <c r="E129" s="2" t="str">
        <f t="shared" si="3"/>
        <v>Moderate</v>
      </c>
    </row>
    <row r="130" spans="5:5" ht="16" customHeight="1" x14ac:dyDescent="0.2">
      <c r="E130" s="2" t="str">
        <f t="shared" si="3"/>
        <v>Moderate</v>
      </c>
    </row>
    <row r="131" spans="5:5" ht="16" customHeight="1" x14ac:dyDescent="0.2">
      <c r="E131" s="2" t="str">
        <f t="shared" si="3"/>
        <v>Moderate</v>
      </c>
    </row>
    <row r="132" spans="5:5" ht="16" customHeight="1" x14ac:dyDescent="0.2">
      <c r="E132" s="2" t="str">
        <f t="shared" ref="E132:E163" si="4">IF(D132="Rejected","Critical", IF(NOT(OR(D132="Approved",D132="Approved with Conditions")),"Moderate", IF(COUNTIF(F132:O132,"Yes*")/COUNTA(F132:O132)&gt;=0.8,"Low", IF(COUNTIF(F132:O132,"Yes*")/COUNTA(F132:O132)&gt;=0.5,"Moderate","High"))))</f>
        <v>Moderate</v>
      </c>
    </row>
    <row r="133" spans="5:5" ht="16" customHeight="1" x14ac:dyDescent="0.2">
      <c r="E133" s="2" t="str">
        <f t="shared" si="4"/>
        <v>Moderate</v>
      </c>
    </row>
    <row r="134" spans="5:5" ht="16" customHeight="1" x14ac:dyDescent="0.2">
      <c r="E134" s="2" t="str">
        <f t="shared" si="4"/>
        <v>Moderate</v>
      </c>
    </row>
    <row r="135" spans="5:5" ht="16" customHeight="1" x14ac:dyDescent="0.2">
      <c r="E135" s="2" t="str">
        <f t="shared" si="4"/>
        <v>Moderate</v>
      </c>
    </row>
    <row r="136" spans="5:5" ht="16" customHeight="1" x14ac:dyDescent="0.2">
      <c r="E136" s="2" t="str">
        <f t="shared" si="4"/>
        <v>Moderate</v>
      </c>
    </row>
    <row r="137" spans="5:5" ht="16" customHeight="1" x14ac:dyDescent="0.2">
      <c r="E137" s="2" t="str">
        <f t="shared" si="4"/>
        <v>Moderate</v>
      </c>
    </row>
    <row r="138" spans="5:5" ht="16" customHeight="1" x14ac:dyDescent="0.2">
      <c r="E138" s="2" t="str">
        <f t="shared" si="4"/>
        <v>Moderate</v>
      </c>
    </row>
    <row r="139" spans="5:5" ht="16" customHeight="1" x14ac:dyDescent="0.2">
      <c r="E139" s="2" t="str">
        <f t="shared" si="4"/>
        <v>Moderate</v>
      </c>
    </row>
    <row r="140" spans="5:5" ht="16" customHeight="1" x14ac:dyDescent="0.2">
      <c r="E140" s="2" t="str">
        <f t="shared" si="4"/>
        <v>Moderate</v>
      </c>
    </row>
    <row r="141" spans="5:5" ht="16" customHeight="1" x14ac:dyDescent="0.2">
      <c r="E141" s="2" t="str">
        <f t="shared" si="4"/>
        <v>Moderate</v>
      </c>
    </row>
    <row r="142" spans="5:5" ht="16" customHeight="1" x14ac:dyDescent="0.2">
      <c r="E142" s="2" t="str">
        <f t="shared" si="4"/>
        <v>Moderate</v>
      </c>
    </row>
    <row r="143" spans="5:5" ht="16" customHeight="1" x14ac:dyDescent="0.2">
      <c r="E143" s="2" t="str">
        <f t="shared" si="4"/>
        <v>Moderate</v>
      </c>
    </row>
    <row r="144" spans="5:5" ht="16" customHeight="1" x14ac:dyDescent="0.2">
      <c r="E144" s="2" t="str">
        <f t="shared" si="4"/>
        <v>Moderate</v>
      </c>
    </row>
    <row r="145" spans="5:5" ht="16" customHeight="1" x14ac:dyDescent="0.2">
      <c r="E145" s="2" t="str">
        <f t="shared" si="4"/>
        <v>Moderate</v>
      </c>
    </row>
    <row r="146" spans="5:5" ht="16" customHeight="1" x14ac:dyDescent="0.2">
      <c r="E146" s="2" t="str">
        <f t="shared" si="4"/>
        <v>Moderate</v>
      </c>
    </row>
    <row r="147" spans="5:5" ht="16" customHeight="1" x14ac:dyDescent="0.2">
      <c r="E147" s="2" t="str">
        <f t="shared" si="4"/>
        <v>Moderate</v>
      </c>
    </row>
    <row r="148" spans="5:5" ht="16" customHeight="1" x14ac:dyDescent="0.2">
      <c r="E148" s="2" t="str">
        <f t="shared" si="4"/>
        <v>Moderate</v>
      </c>
    </row>
    <row r="149" spans="5:5" ht="16" customHeight="1" x14ac:dyDescent="0.2">
      <c r="E149" s="2" t="str">
        <f t="shared" si="4"/>
        <v>Moderate</v>
      </c>
    </row>
    <row r="150" spans="5:5" ht="16" customHeight="1" x14ac:dyDescent="0.2">
      <c r="E150" s="2" t="str">
        <f t="shared" si="4"/>
        <v>Moderate</v>
      </c>
    </row>
    <row r="151" spans="5:5" ht="16" customHeight="1" x14ac:dyDescent="0.2">
      <c r="E151" s="2" t="str">
        <f t="shared" si="4"/>
        <v>Moderate</v>
      </c>
    </row>
    <row r="152" spans="5:5" ht="16" customHeight="1" x14ac:dyDescent="0.2">
      <c r="E152" s="2" t="str">
        <f t="shared" si="4"/>
        <v>Moderate</v>
      </c>
    </row>
    <row r="153" spans="5:5" ht="16" customHeight="1" x14ac:dyDescent="0.2">
      <c r="E153" s="2" t="str">
        <f t="shared" si="4"/>
        <v>Moderate</v>
      </c>
    </row>
    <row r="154" spans="5:5" ht="16" customHeight="1" x14ac:dyDescent="0.2">
      <c r="E154" s="2" t="str">
        <f t="shared" si="4"/>
        <v>Moderate</v>
      </c>
    </row>
    <row r="155" spans="5:5" ht="16" customHeight="1" x14ac:dyDescent="0.2">
      <c r="E155" s="2" t="str">
        <f t="shared" si="4"/>
        <v>Moderate</v>
      </c>
    </row>
    <row r="156" spans="5:5" ht="16" customHeight="1" x14ac:dyDescent="0.2">
      <c r="E156" s="2" t="str">
        <f t="shared" si="4"/>
        <v>Moderate</v>
      </c>
    </row>
    <row r="157" spans="5:5" ht="16" customHeight="1" x14ac:dyDescent="0.2">
      <c r="E157" s="2" t="str">
        <f t="shared" si="4"/>
        <v>Moderate</v>
      </c>
    </row>
    <row r="158" spans="5:5" ht="16" customHeight="1" x14ac:dyDescent="0.2">
      <c r="E158" s="2" t="str">
        <f t="shared" si="4"/>
        <v>Moderate</v>
      </c>
    </row>
    <row r="159" spans="5:5" ht="16" customHeight="1" x14ac:dyDescent="0.2">
      <c r="E159" s="2" t="str">
        <f t="shared" si="4"/>
        <v>Moderate</v>
      </c>
    </row>
    <row r="160" spans="5:5" ht="16" customHeight="1" x14ac:dyDescent="0.2">
      <c r="E160" s="2" t="str">
        <f t="shared" si="4"/>
        <v>Moderate</v>
      </c>
    </row>
    <row r="161" spans="5:5" ht="16" customHeight="1" x14ac:dyDescent="0.2">
      <c r="E161" s="2" t="str">
        <f t="shared" si="4"/>
        <v>Moderate</v>
      </c>
    </row>
    <row r="162" spans="5:5" ht="16" customHeight="1" x14ac:dyDescent="0.2">
      <c r="E162" s="2" t="str">
        <f t="shared" si="4"/>
        <v>Moderate</v>
      </c>
    </row>
    <row r="163" spans="5:5" ht="16" customHeight="1" x14ac:dyDescent="0.2">
      <c r="E163" s="2" t="str">
        <f t="shared" si="4"/>
        <v>Moderate</v>
      </c>
    </row>
    <row r="164" spans="5:5" ht="16" customHeight="1" x14ac:dyDescent="0.2">
      <c r="E164" s="2" t="str">
        <f t="shared" ref="E164:E195" si="5">IF(D164="Rejected","Critical", IF(NOT(OR(D164="Approved",D164="Approved with Conditions")),"Moderate", IF(COUNTIF(F164:O164,"Yes*")/COUNTA(F164:O164)&gt;=0.8,"Low", IF(COUNTIF(F164:O164,"Yes*")/COUNTA(F164:O164)&gt;=0.5,"Moderate","High"))))</f>
        <v>Moderate</v>
      </c>
    </row>
    <row r="165" spans="5:5" ht="16" customHeight="1" x14ac:dyDescent="0.2">
      <c r="E165" s="2" t="str">
        <f t="shared" si="5"/>
        <v>Moderate</v>
      </c>
    </row>
    <row r="166" spans="5:5" ht="16" customHeight="1" x14ac:dyDescent="0.2">
      <c r="E166" s="2" t="str">
        <f t="shared" si="5"/>
        <v>Moderate</v>
      </c>
    </row>
    <row r="167" spans="5:5" ht="16" customHeight="1" x14ac:dyDescent="0.2">
      <c r="E167" s="2" t="str">
        <f t="shared" si="5"/>
        <v>Moderate</v>
      </c>
    </row>
    <row r="168" spans="5:5" ht="16" customHeight="1" x14ac:dyDescent="0.2">
      <c r="E168" s="2" t="str">
        <f t="shared" si="5"/>
        <v>Moderate</v>
      </c>
    </row>
    <row r="169" spans="5:5" ht="16" customHeight="1" x14ac:dyDescent="0.2">
      <c r="E169" s="2" t="str">
        <f t="shared" si="5"/>
        <v>Moderate</v>
      </c>
    </row>
    <row r="170" spans="5:5" ht="16" customHeight="1" x14ac:dyDescent="0.2">
      <c r="E170" s="2" t="str">
        <f t="shared" si="5"/>
        <v>Moderate</v>
      </c>
    </row>
    <row r="171" spans="5:5" ht="16" customHeight="1" x14ac:dyDescent="0.2">
      <c r="E171" s="2" t="str">
        <f t="shared" si="5"/>
        <v>Moderate</v>
      </c>
    </row>
    <row r="172" spans="5:5" ht="16" customHeight="1" x14ac:dyDescent="0.2">
      <c r="E172" s="2" t="str">
        <f t="shared" si="5"/>
        <v>Moderate</v>
      </c>
    </row>
    <row r="173" spans="5:5" ht="16" customHeight="1" x14ac:dyDescent="0.2">
      <c r="E173" s="2" t="str">
        <f t="shared" si="5"/>
        <v>Moderate</v>
      </c>
    </row>
    <row r="174" spans="5:5" ht="16" customHeight="1" x14ac:dyDescent="0.2">
      <c r="E174" s="2" t="str">
        <f t="shared" si="5"/>
        <v>Moderate</v>
      </c>
    </row>
    <row r="175" spans="5:5" ht="16" customHeight="1" x14ac:dyDescent="0.2">
      <c r="E175" s="2" t="str">
        <f t="shared" si="5"/>
        <v>Moderate</v>
      </c>
    </row>
    <row r="176" spans="5:5" ht="16" customHeight="1" x14ac:dyDescent="0.2">
      <c r="E176" s="2" t="str">
        <f t="shared" si="5"/>
        <v>Moderate</v>
      </c>
    </row>
    <row r="177" spans="5:5" ht="16" customHeight="1" x14ac:dyDescent="0.2">
      <c r="E177" s="2" t="str">
        <f t="shared" si="5"/>
        <v>Moderate</v>
      </c>
    </row>
    <row r="178" spans="5:5" ht="16" customHeight="1" x14ac:dyDescent="0.2">
      <c r="E178" s="2" t="str">
        <f t="shared" si="5"/>
        <v>Moderate</v>
      </c>
    </row>
    <row r="179" spans="5:5" ht="16" customHeight="1" x14ac:dyDescent="0.2">
      <c r="E179" s="2" t="str">
        <f t="shared" si="5"/>
        <v>Moderate</v>
      </c>
    </row>
    <row r="180" spans="5:5" ht="16" customHeight="1" x14ac:dyDescent="0.2">
      <c r="E180" s="2" t="str">
        <f t="shared" si="5"/>
        <v>Moderate</v>
      </c>
    </row>
    <row r="181" spans="5:5" ht="16" customHeight="1" x14ac:dyDescent="0.2">
      <c r="E181" s="2" t="str">
        <f t="shared" si="5"/>
        <v>Moderate</v>
      </c>
    </row>
    <row r="182" spans="5:5" ht="16" customHeight="1" x14ac:dyDescent="0.2">
      <c r="E182" s="2" t="str">
        <f t="shared" si="5"/>
        <v>Moderate</v>
      </c>
    </row>
    <row r="183" spans="5:5" ht="16" customHeight="1" x14ac:dyDescent="0.2">
      <c r="E183" s="2" t="str">
        <f t="shared" si="5"/>
        <v>Moderate</v>
      </c>
    </row>
    <row r="184" spans="5:5" ht="16" customHeight="1" x14ac:dyDescent="0.2">
      <c r="E184" s="2" t="str">
        <f t="shared" si="5"/>
        <v>Moderate</v>
      </c>
    </row>
    <row r="185" spans="5:5" ht="16" customHeight="1" x14ac:dyDescent="0.2">
      <c r="E185" s="2" t="str">
        <f t="shared" si="5"/>
        <v>Moderate</v>
      </c>
    </row>
    <row r="186" spans="5:5" ht="16" customHeight="1" x14ac:dyDescent="0.2">
      <c r="E186" s="2" t="str">
        <f t="shared" si="5"/>
        <v>Moderate</v>
      </c>
    </row>
    <row r="187" spans="5:5" ht="16" customHeight="1" x14ac:dyDescent="0.2">
      <c r="E187" s="2" t="str">
        <f t="shared" si="5"/>
        <v>Moderate</v>
      </c>
    </row>
    <row r="188" spans="5:5" ht="16" customHeight="1" x14ac:dyDescent="0.2">
      <c r="E188" s="2" t="str">
        <f t="shared" si="5"/>
        <v>Moderate</v>
      </c>
    </row>
    <row r="189" spans="5:5" ht="16" customHeight="1" x14ac:dyDescent="0.2">
      <c r="E189" s="2" t="str">
        <f t="shared" si="5"/>
        <v>Moderate</v>
      </c>
    </row>
    <row r="190" spans="5:5" ht="16" customHeight="1" x14ac:dyDescent="0.2">
      <c r="E190" s="2" t="str">
        <f t="shared" si="5"/>
        <v>Moderate</v>
      </c>
    </row>
    <row r="191" spans="5:5" ht="16" customHeight="1" x14ac:dyDescent="0.2">
      <c r="E191" s="2" t="str">
        <f t="shared" si="5"/>
        <v>Moderate</v>
      </c>
    </row>
    <row r="192" spans="5:5" ht="16" customHeight="1" x14ac:dyDescent="0.2">
      <c r="E192" s="2" t="str">
        <f t="shared" si="5"/>
        <v>Moderate</v>
      </c>
    </row>
    <row r="193" spans="5:5" ht="16" customHeight="1" x14ac:dyDescent="0.2">
      <c r="E193" s="2" t="str">
        <f t="shared" si="5"/>
        <v>Moderate</v>
      </c>
    </row>
    <row r="194" spans="5:5" ht="16" customHeight="1" x14ac:dyDescent="0.2">
      <c r="E194" s="2" t="str">
        <f t="shared" si="5"/>
        <v>Moderate</v>
      </c>
    </row>
    <row r="195" spans="5:5" ht="16" customHeight="1" x14ac:dyDescent="0.2">
      <c r="E195" s="2" t="str">
        <f t="shared" si="5"/>
        <v>Moderate</v>
      </c>
    </row>
    <row r="196" spans="5:5" ht="16" customHeight="1" x14ac:dyDescent="0.2">
      <c r="E196" s="2" t="str">
        <f t="shared" ref="E196:E200" si="6">IF(D196="Rejected","Critical", IF(NOT(OR(D196="Approved",D196="Approved with Conditions")),"Moderate", IF(COUNTIF(F196:O196,"Yes*")/COUNTA(F196:O196)&gt;=0.8,"Low", IF(COUNTIF(F196:O196,"Yes*")/COUNTA(F196:O196)&gt;=0.5,"Moderate","High"))))</f>
        <v>Moderate</v>
      </c>
    </row>
    <row r="197" spans="5:5" ht="16" customHeight="1" x14ac:dyDescent="0.2">
      <c r="E197" s="2" t="str">
        <f t="shared" si="6"/>
        <v>Moderate</v>
      </c>
    </row>
    <row r="198" spans="5:5" ht="16" customHeight="1" x14ac:dyDescent="0.2">
      <c r="E198" s="2" t="str">
        <f t="shared" si="6"/>
        <v>Moderate</v>
      </c>
    </row>
    <row r="199" spans="5:5" ht="16" customHeight="1" x14ac:dyDescent="0.2">
      <c r="E199" s="2" t="str">
        <f t="shared" si="6"/>
        <v>Moderate</v>
      </c>
    </row>
    <row r="200" spans="5:5" ht="16" customHeight="1" x14ac:dyDescent="0.2">
      <c r="E200" s="2" t="str">
        <f t="shared" si="6"/>
        <v>Moderate</v>
      </c>
    </row>
  </sheetData>
  <mergeCells count="2">
    <mergeCell ref="A1:P1"/>
    <mergeCell ref="A2:P2"/>
  </mergeCells>
  <conditionalFormatting sqref="E4:E200">
    <cfRule type="cellIs" dxfId="3" priority="1" operator="equal">
      <formula>"High"</formula>
    </cfRule>
  </conditionalFormatting>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200"/>
  <sheetViews>
    <sheetView zoomScale="188" workbookViewId="0">
      <pane xSplit="2" ySplit="3" topLeftCell="C4" activePane="bottomRight" state="frozen"/>
      <selection pane="topRight"/>
      <selection pane="bottomLeft"/>
      <selection pane="bottomRight" activeCell="K11" sqref="K11"/>
    </sheetView>
  </sheetViews>
  <sheetFormatPr baseColWidth="10" defaultColWidth="8.83203125" defaultRowHeight="15" x14ac:dyDescent="0.2"/>
  <cols>
    <col min="1" max="1" width="10" customWidth="1"/>
    <col min="2" max="2" width="20" customWidth="1"/>
    <col min="3" max="3" width="24" customWidth="1"/>
    <col min="4" max="4" width="18" customWidth="1"/>
    <col min="5" max="10" width="22" customWidth="1"/>
    <col min="11" max="12" width="34" customWidth="1"/>
  </cols>
  <sheetData>
    <row r="1" spans="1:12" ht="26" customHeight="1" x14ac:dyDescent="0.2">
      <c r="A1" s="9" t="s">
        <v>463</v>
      </c>
      <c r="B1" s="10"/>
      <c r="C1" s="10"/>
      <c r="D1" s="10"/>
      <c r="E1" s="10"/>
      <c r="F1" s="10"/>
      <c r="G1" s="10"/>
      <c r="H1" s="10"/>
      <c r="I1" s="10"/>
      <c r="J1" s="10"/>
      <c r="K1" s="10"/>
      <c r="L1" s="10"/>
    </row>
    <row r="2" spans="1:12" x14ac:dyDescent="0.2">
      <c r="A2" s="12" t="s">
        <v>464</v>
      </c>
      <c r="B2" s="10"/>
      <c r="C2" s="10"/>
      <c r="D2" s="10"/>
      <c r="E2" s="10"/>
      <c r="F2" s="10"/>
      <c r="G2" s="10"/>
      <c r="H2" s="10"/>
      <c r="I2" s="10"/>
      <c r="J2" s="10"/>
      <c r="K2" s="10"/>
      <c r="L2" s="10"/>
    </row>
    <row r="3" spans="1:12" ht="30" customHeight="1" x14ac:dyDescent="0.2">
      <c r="A3" s="1" t="s">
        <v>255</v>
      </c>
      <c r="B3" s="1" t="s">
        <v>257</v>
      </c>
      <c r="C3" s="1" t="s">
        <v>465</v>
      </c>
      <c r="D3" s="1" t="s">
        <v>466</v>
      </c>
      <c r="E3" s="1" t="s">
        <v>467</v>
      </c>
      <c r="F3" s="1" t="s">
        <v>468</v>
      </c>
      <c r="G3" s="1" t="s">
        <v>469</v>
      </c>
      <c r="H3" s="1" t="s">
        <v>470</v>
      </c>
      <c r="I3" s="1" t="s">
        <v>471</v>
      </c>
      <c r="J3" s="1" t="s">
        <v>472</v>
      </c>
      <c r="K3" s="1" t="s">
        <v>473</v>
      </c>
      <c r="L3" s="1" t="s">
        <v>274</v>
      </c>
    </row>
    <row r="4" spans="1:12" ht="16" customHeight="1" x14ac:dyDescent="0.2">
      <c r="A4" s="2" t="str">
        <f>'AI Inventory'!A5</f>
        <v>AI-001</v>
      </c>
      <c r="B4" s="2" t="str">
        <f>'AI Inventory'!C5</f>
        <v>Copilot</v>
      </c>
      <c r="C4" s="2" t="s">
        <v>474</v>
      </c>
      <c r="D4" s="2" t="str">
        <f t="shared" ref="D4:D35" si="0">IF(C4="Rejected","Critical", IF(AND(E4="No",I4="No"),"Critical", IF(J4="No","Critical", IF(OR( C4="Not Started", I4="No", COUNTIF(E4:G4,"No")&gt;=1 ),"High", IF(H4="No","Moderate", IF(OR(J4="To Confirm", I4="To Confirm"),"Moderate", IF(COUNTIF(E4:J4,"To Confirm")=1,"Low", IF(AND(COUNTIF(E4:J4,"Yes")=COUNTA(E4:J4)-COUNTIF(E4:J4,"N/A"),COUNTA(E4:J4)-COUNTIF(E4:J4,"N/A")&gt;0),"Low", IF(COUNTA(E4:J4)-COUNTIF(E4:J4,"N/A")=0,"Low", IF(COUNTIF(E4:J4,"Yes")/(COUNTA(E4:J4)-COUNTIF(E4:J4,"N/A"))&gt;=0.5,"Moderate", "High"))))))))))</f>
        <v>Moderate</v>
      </c>
      <c r="E4" s="2" t="s">
        <v>282</v>
      </c>
      <c r="F4" s="2" t="s">
        <v>282</v>
      </c>
      <c r="G4" s="2" t="s">
        <v>282</v>
      </c>
      <c r="H4" s="2" t="s">
        <v>292</v>
      </c>
      <c r="I4" s="2" t="s">
        <v>282</v>
      </c>
      <c r="J4" s="2" t="s">
        <v>282</v>
      </c>
      <c r="K4" s="2"/>
      <c r="L4" s="2"/>
    </row>
    <row r="5" spans="1:12" ht="16" customHeight="1" x14ac:dyDescent="0.2">
      <c r="A5" s="2" t="str">
        <f>'AI Inventory'!A6</f>
        <v>AI-002</v>
      </c>
      <c r="B5" s="2" t="str">
        <f>'AI Inventory'!C6</f>
        <v>Claude AI</v>
      </c>
      <c r="C5" s="2" t="s">
        <v>407</v>
      </c>
      <c r="D5" s="2" t="str">
        <f t="shared" si="0"/>
        <v>High</v>
      </c>
      <c r="E5" s="2" t="s">
        <v>426</v>
      </c>
      <c r="F5" s="2" t="s">
        <v>426</v>
      </c>
      <c r="G5" s="2" t="s">
        <v>426</v>
      </c>
      <c r="H5" s="2" t="s">
        <v>426</v>
      </c>
      <c r="I5" s="2" t="s">
        <v>426</v>
      </c>
      <c r="J5" s="2" t="s">
        <v>426</v>
      </c>
      <c r="K5" s="2"/>
      <c r="L5" s="2"/>
    </row>
    <row r="6" spans="1:12" ht="16" customHeight="1" x14ac:dyDescent="0.2">
      <c r="A6" s="2" t="str">
        <f>'AI Inventory'!A7</f>
        <v>AI-003</v>
      </c>
      <c r="B6" s="2" t="str">
        <f>'AI Inventory'!C7</f>
        <v>JMP Learnbot</v>
      </c>
      <c r="C6" s="2" t="s">
        <v>226</v>
      </c>
      <c r="D6" s="2" t="str">
        <f t="shared" si="0"/>
        <v>Moderate</v>
      </c>
      <c r="E6" s="2" t="s">
        <v>426</v>
      </c>
      <c r="F6" s="2" t="s">
        <v>426</v>
      </c>
      <c r="G6" s="2" t="s">
        <v>426</v>
      </c>
      <c r="H6" s="2" t="s">
        <v>426</v>
      </c>
      <c r="I6" s="2" t="s">
        <v>426</v>
      </c>
      <c r="J6" s="2" t="s">
        <v>426</v>
      </c>
      <c r="K6" s="2"/>
      <c r="L6" s="2"/>
    </row>
    <row r="7" spans="1:12" ht="16" customHeight="1" x14ac:dyDescent="0.2">
      <c r="A7" s="2" t="str">
        <f>'AI Inventory'!A8</f>
        <v>AI-004</v>
      </c>
      <c r="B7" s="2" t="str">
        <f>'AI Inventory'!C8</f>
        <v>Synthesia</v>
      </c>
      <c r="C7" s="2" t="s">
        <v>226</v>
      </c>
      <c r="D7" s="2" t="str">
        <f t="shared" si="0"/>
        <v>Moderate</v>
      </c>
      <c r="E7" s="2" t="s">
        <v>426</v>
      </c>
      <c r="F7" s="2" t="s">
        <v>426</v>
      </c>
      <c r="G7" s="2" t="s">
        <v>426</v>
      </c>
      <c r="H7" s="2" t="s">
        <v>426</v>
      </c>
      <c r="I7" s="2" t="s">
        <v>426</v>
      </c>
      <c r="J7" s="2" t="s">
        <v>426</v>
      </c>
      <c r="K7" s="2"/>
      <c r="L7" s="2"/>
    </row>
    <row r="8" spans="1:12" ht="16" customHeight="1" x14ac:dyDescent="0.2">
      <c r="A8" s="2" t="str">
        <f>'AI Inventory'!A9</f>
        <v>AI-005</v>
      </c>
      <c r="B8" s="2" t="str">
        <f>'AI Inventory'!C9</f>
        <v>Levy AI</v>
      </c>
      <c r="C8" s="2" t="s">
        <v>407</v>
      </c>
      <c r="D8" s="2" t="str">
        <f t="shared" si="0"/>
        <v>High</v>
      </c>
      <c r="E8" s="2" t="s">
        <v>426</v>
      </c>
      <c r="F8" s="2" t="s">
        <v>426</v>
      </c>
      <c r="G8" s="2" t="s">
        <v>426</v>
      </c>
      <c r="H8" s="2" t="s">
        <v>426</v>
      </c>
      <c r="I8" s="2" t="s">
        <v>426</v>
      </c>
      <c r="J8" s="2" t="s">
        <v>426</v>
      </c>
      <c r="K8" s="2"/>
      <c r="L8" s="2"/>
    </row>
    <row r="9" spans="1:12" ht="16" customHeight="1" x14ac:dyDescent="0.2">
      <c r="A9" s="2" t="str">
        <f>'AI Inventory'!A10</f>
        <v>AI-006</v>
      </c>
      <c r="B9" s="2" t="str">
        <f>'AI Inventory'!C10</f>
        <v>Startreck.AI</v>
      </c>
      <c r="C9" s="2" t="s">
        <v>230</v>
      </c>
      <c r="D9" s="2" t="str">
        <f t="shared" si="0"/>
        <v>Critical</v>
      </c>
      <c r="E9" s="2" t="s">
        <v>426</v>
      </c>
      <c r="F9" s="2" t="s">
        <v>426</v>
      </c>
      <c r="G9" s="2" t="s">
        <v>426</v>
      </c>
      <c r="H9" s="2" t="s">
        <v>426</v>
      </c>
      <c r="I9" s="2" t="s">
        <v>426</v>
      </c>
      <c r="J9" s="2" t="s">
        <v>426</v>
      </c>
      <c r="K9" s="2"/>
      <c r="L9" s="2"/>
    </row>
    <row r="10" spans="1:12" ht="16" customHeight="1" x14ac:dyDescent="0.2">
      <c r="A10" s="2" t="str">
        <f>'AI Inventory'!A11</f>
        <v>AI-007</v>
      </c>
      <c r="B10" s="2" t="str">
        <f>'AI Inventory'!C11</f>
        <v>Potential Hazard Navigator</v>
      </c>
      <c r="C10" s="2" t="s">
        <v>229</v>
      </c>
      <c r="D10" s="2" t="str">
        <f t="shared" si="0"/>
        <v>Moderate</v>
      </c>
      <c r="E10" s="2" t="s">
        <v>282</v>
      </c>
      <c r="F10" s="2" t="s">
        <v>282</v>
      </c>
      <c r="G10" s="2" t="s">
        <v>282</v>
      </c>
      <c r="H10" s="2" t="s">
        <v>292</v>
      </c>
      <c r="I10" s="2" t="s">
        <v>282</v>
      </c>
      <c r="J10" s="2" t="s">
        <v>426</v>
      </c>
      <c r="K10" s="2" t="s">
        <v>587</v>
      </c>
      <c r="L10" s="2" t="s">
        <v>475</v>
      </c>
    </row>
    <row r="11" spans="1:12" ht="16" customHeight="1" x14ac:dyDescent="0.2">
      <c r="C11" s="2"/>
      <c r="D11" s="2" t="str">
        <f t="shared" si="0"/>
        <v>Low</v>
      </c>
      <c r="E11" s="2"/>
      <c r="F11" s="2"/>
      <c r="G11" s="2"/>
      <c r="H11" s="2"/>
      <c r="I11" s="2"/>
      <c r="J11" s="2"/>
    </row>
    <row r="12" spans="1:12" ht="16" customHeight="1" x14ac:dyDescent="0.2">
      <c r="C12" s="2"/>
      <c r="D12" s="2" t="str">
        <f t="shared" si="0"/>
        <v>Low</v>
      </c>
      <c r="E12" s="2"/>
      <c r="F12" s="2"/>
      <c r="G12" s="2"/>
      <c r="H12" s="2"/>
      <c r="I12" s="2"/>
      <c r="J12" s="2"/>
    </row>
    <row r="13" spans="1:12" ht="16" customHeight="1" x14ac:dyDescent="0.2">
      <c r="C13" s="2"/>
      <c r="D13" s="2" t="str">
        <f t="shared" si="0"/>
        <v>Low</v>
      </c>
      <c r="E13" s="2"/>
      <c r="F13" s="2"/>
      <c r="G13" s="2"/>
      <c r="H13" s="2"/>
      <c r="I13" s="2"/>
      <c r="J13" s="2"/>
    </row>
    <row r="14" spans="1:12" ht="16" customHeight="1" x14ac:dyDescent="0.2">
      <c r="C14" s="2"/>
      <c r="D14" s="2" t="str">
        <f t="shared" si="0"/>
        <v>Low</v>
      </c>
      <c r="E14" s="2"/>
      <c r="F14" s="2"/>
      <c r="G14" s="2"/>
      <c r="H14" s="2"/>
      <c r="I14" s="2"/>
      <c r="J14" s="2"/>
    </row>
    <row r="15" spans="1:12" ht="16" customHeight="1" x14ac:dyDescent="0.2">
      <c r="C15" s="2"/>
      <c r="D15" s="2" t="str">
        <f t="shared" si="0"/>
        <v>Low</v>
      </c>
      <c r="E15" s="2"/>
      <c r="F15" s="2"/>
      <c r="G15" s="2"/>
      <c r="H15" s="2"/>
      <c r="I15" s="2"/>
      <c r="J15" s="2"/>
    </row>
    <row r="16" spans="1:12" ht="16" customHeight="1" x14ac:dyDescent="0.2">
      <c r="C16" s="2"/>
      <c r="D16" s="2" t="str">
        <f t="shared" si="0"/>
        <v>Low</v>
      </c>
      <c r="E16" s="2"/>
      <c r="F16" s="2"/>
      <c r="G16" s="2"/>
      <c r="H16" s="2"/>
      <c r="I16" s="2"/>
      <c r="J16" s="2"/>
    </row>
    <row r="17" spans="3:10" ht="16" customHeight="1" x14ac:dyDescent="0.2">
      <c r="C17" s="2"/>
      <c r="D17" s="2" t="str">
        <f t="shared" si="0"/>
        <v>Low</v>
      </c>
      <c r="E17" s="2"/>
      <c r="F17" s="2"/>
      <c r="G17" s="2"/>
      <c r="H17" s="2"/>
      <c r="I17" s="2"/>
      <c r="J17" s="2"/>
    </row>
    <row r="18" spans="3:10" ht="16" customHeight="1" x14ac:dyDescent="0.2">
      <c r="C18" s="2"/>
      <c r="D18" s="2" t="str">
        <f t="shared" si="0"/>
        <v>Low</v>
      </c>
      <c r="E18" s="2"/>
      <c r="F18" s="2"/>
      <c r="G18" s="2"/>
      <c r="H18" s="2"/>
      <c r="I18" s="2"/>
      <c r="J18" s="2"/>
    </row>
    <row r="19" spans="3:10" ht="16" customHeight="1" x14ac:dyDescent="0.2">
      <c r="C19" s="2"/>
      <c r="D19" s="2" t="str">
        <f t="shared" si="0"/>
        <v>Low</v>
      </c>
      <c r="E19" s="2"/>
      <c r="F19" s="2"/>
      <c r="G19" s="2"/>
      <c r="H19" s="2"/>
      <c r="I19" s="2"/>
      <c r="J19" s="2"/>
    </row>
    <row r="20" spans="3:10" ht="16" customHeight="1" x14ac:dyDescent="0.2">
      <c r="C20" s="2"/>
      <c r="D20" s="2" t="str">
        <f t="shared" si="0"/>
        <v>Low</v>
      </c>
      <c r="E20" s="2"/>
      <c r="F20" s="2"/>
      <c r="G20" s="2"/>
      <c r="H20" s="2"/>
      <c r="I20" s="2"/>
      <c r="J20" s="2"/>
    </row>
    <row r="21" spans="3:10" ht="16" customHeight="1" x14ac:dyDescent="0.2">
      <c r="C21" s="2"/>
      <c r="D21" s="2" t="str">
        <f t="shared" si="0"/>
        <v>Low</v>
      </c>
      <c r="E21" s="2"/>
      <c r="F21" s="2"/>
      <c r="G21" s="2"/>
      <c r="H21" s="2"/>
      <c r="I21" s="2"/>
      <c r="J21" s="2"/>
    </row>
    <row r="22" spans="3:10" ht="16" customHeight="1" x14ac:dyDescent="0.2">
      <c r="C22" s="2"/>
      <c r="D22" s="2" t="str">
        <f t="shared" si="0"/>
        <v>Low</v>
      </c>
      <c r="E22" s="2"/>
      <c r="F22" s="2"/>
      <c r="G22" s="2"/>
      <c r="H22" s="2"/>
      <c r="I22" s="2"/>
      <c r="J22" s="2"/>
    </row>
    <row r="23" spans="3:10" ht="16" customHeight="1" x14ac:dyDescent="0.2">
      <c r="C23" s="2"/>
      <c r="D23" s="2" t="str">
        <f t="shared" si="0"/>
        <v>Low</v>
      </c>
      <c r="E23" s="2"/>
      <c r="F23" s="2"/>
      <c r="G23" s="2"/>
      <c r="H23" s="2"/>
      <c r="I23" s="2"/>
      <c r="J23" s="2"/>
    </row>
    <row r="24" spans="3:10" ht="16" customHeight="1" x14ac:dyDescent="0.2">
      <c r="C24" s="2"/>
      <c r="D24" s="2" t="str">
        <f t="shared" si="0"/>
        <v>Low</v>
      </c>
      <c r="E24" s="2"/>
      <c r="F24" s="2"/>
      <c r="G24" s="2"/>
      <c r="H24" s="2"/>
      <c r="I24" s="2"/>
      <c r="J24" s="2"/>
    </row>
    <row r="25" spans="3:10" ht="16" customHeight="1" x14ac:dyDescent="0.2">
      <c r="C25" s="2"/>
      <c r="D25" s="2" t="str">
        <f t="shared" si="0"/>
        <v>Low</v>
      </c>
      <c r="E25" s="2"/>
      <c r="F25" s="2"/>
      <c r="G25" s="2"/>
      <c r="H25" s="2"/>
      <c r="I25" s="2"/>
      <c r="J25" s="2"/>
    </row>
    <row r="26" spans="3:10" ht="16" customHeight="1" x14ac:dyDescent="0.2">
      <c r="C26" s="2"/>
      <c r="D26" s="2" t="str">
        <f t="shared" si="0"/>
        <v>Low</v>
      </c>
      <c r="E26" s="2"/>
      <c r="F26" s="2"/>
      <c r="G26" s="2"/>
      <c r="H26" s="2"/>
      <c r="I26" s="2"/>
      <c r="J26" s="2"/>
    </row>
    <row r="27" spans="3:10" ht="16" customHeight="1" x14ac:dyDescent="0.2">
      <c r="C27" s="2"/>
      <c r="D27" s="2" t="str">
        <f t="shared" si="0"/>
        <v>Low</v>
      </c>
      <c r="E27" s="2"/>
      <c r="F27" s="2"/>
      <c r="G27" s="2"/>
      <c r="H27" s="2"/>
      <c r="I27" s="2"/>
      <c r="J27" s="2"/>
    </row>
    <row r="28" spans="3:10" ht="16" customHeight="1" x14ac:dyDescent="0.2">
      <c r="C28" s="2"/>
      <c r="D28" s="2" t="str">
        <f t="shared" si="0"/>
        <v>Low</v>
      </c>
      <c r="E28" s="2"/>
      <c r="F28" s="2"/>
      <c r="G28" s="2"/>
      <c r="H28" s="2"/>
      <c r="I28" s="2"/>
      <c r="J28" s="2"/>
    </row>
    <row r="29" spans="3:10" ht="16" customHeight="1" x14ac:dyDescent="0.2">
      <c r="C29" s="2"/>
      <c r="D29" s="2" t="str">
        <f t="shared" si="0"/>
        <v>Low</v>
      </c>
      <c r="E29" s="2"/>
      <c r="F29" s="2"/>
      <c r="G29" s="2"/>
      <c r="H29" s="2"/>
      <c r="I29" s="2"/>
      <c r="J29" s="2"/>
    </row>
    <row r="30" spans="3:10" ht="16" customHeight="1" x14ac:dyDescent="0.2">
      <c r="C30" s="2"/>
      <c r="D30" s="2" t="str">
        <f t="shared" si="0"/>
        <v>Low</v>
      </c>
      <c r="E30" s="2"/>
      <c r="F30" s="2"/>
      <c r="G30" s="2"/>
      <c r="H30" s="2"/>
      <c r="I30" s="2"/>
      <c r="J30" s="2"/>
    </row>
    <row r="31" spans="3:10" ht="16" customHeight="1" x14ac:dyDescent="0.2">
      <c r="C31" s="2"/>
      <c r="D31" s="2" t="str">
        <f t="shared" si="0"/>
        <v>Low</v>
      </c>
      <c r="E31" s="2"/>
      <c r="F31" s="2"/>
      <c r="G31" s="2"/>
      <c r="H31" s="2"/>
      <c r="I31" s="2"/>
      <c r="J31" s="2"/>
    </row>
    <row r="32" spans="3:10" ht="16" customHeight="1" x14ac:dyDescent="0.2">
      <c r="C32" s="2"/>
      <c r="D32" s="2" t="str">
        <f t="shared" si="0"/>
        <v>Low</v>
      </c>
      <c r="E32" s="2"/>
      <c r="F32" s="2"/>
      <c r="G32" s="2"/>
      <c r="H32" s="2"/>
      <c r="I32" s="2"/>
      <c r="J32" s="2"/>
    </row>
    <row r="33" spans="3:10" ht="16" customHeight="1" x14ac:dyDescent="0.2">
      <c r="C33" s="2"/>
      <c r="D33" s="2" t="str">
        <f t="shared" si="0"/>
        <v>Low</v>
      </c>
      <c r="E33" s="2"/>
      <c r="F33" s="2"/>
      <c r="G33" s="2"/>
      <c r="H33" s="2"/>
      <c r="I33" s="2"/>
      <c r="J33" s="2"/>
    </row>
    <row r="34" spans="3:10" ht="16" customHeight="1" x14ac:dyDescent="0.2">
      <c r="C34" s="2"/>
      <c r="D34" s="2" t="str">
        <f t="shared" si="0"/>
        <v>Low</v>
      </c>
      <c r="E34" s="2"/>
      <c r="F34" s="2"/>
      <c r="G34" s="2"/>
      <c r="H34" s="2"/>
      <c r="I34" s="2"/>
      <c r="J34" s="2"/>
    </row>
    <row r="35" spans="3:10" ht="16" customHeight="1" x14ac:dyDescent="0.2">
      <c r="C35" s="2"/>
      <c r="D35" s="2" t="str">
        <f t="shared" si="0"/>
        <v>Low</v>
      </c>
      <c r="E35" s="2"/>
      <c r="F35" s="2"/>
      <c r="G35" s="2"/>
      <c r="H35" s="2"/>
      <c r="I35" s="2"/>
      <c r="J35" s="2"/>
    </row>
    <row r="36" spans="3:10" ht="16" customHeight="1" x14ac:dyDescent="0.2">
      <c r="C36" s="2"/>
      <c r="D36" s="2" t="str">
        <f t="shared" ref="D36:D67" si="1">IF(C36="Rejected","Critical", IF(AND(E36="No",I36="No"),"Critical", IF(J36="No","Critical", IF(OR( C36="Not Started", I36="No", COUNTIF(E36:G36,"No")&gt;=1 ),"High", IF(H36="No","Moderate", IF(OR(J36="To Confirm", I36="To Confirm"),"Moderate", IF(COUNTIF(E36:J36,"To Confirm")=1,"Low", IF(AND(COUNTIF(E36:J36,"Yes")=COUNTA(E36:J36)-COUNTIF(E36:J36,"N/A"),COUNTA(E36:J36)-COUNTIF(E36:J36,"N/A")&gt;0),"Low", IF(COUNTA(E36:J36)-COUNTIF(E36:J36,"N/A")=0,"Low", IF(COUNTIF(E36:J36,"Yes")/(COUNTA(E36:J36)-COUNTIF(E36:J36,"N/A"))&gt;=0.5,"Moderate", "High"))))))))))</f>
        <v>Low</v>
      </c>
      <c r="E36" s="2"/>
      <c r="F36" s="2"/>
      <c r="G36" s="2"/>
      <c r="H36" s="2"/>
      <c r="I36" s="2"/>
      <c r="J36" s="2"/>
    </row>
    <row r="37" spans="3:10" ht="16" customHeight="1" x14ac:dyDescent="0.2">
      <c r="C37" s="2"/>
      <c r="D37" s="2" t="str">
        <f t="shared" si="1"/>
        <v>Low</v>
      </c>
      <c r="E37" s="2"/>
      <c r="F37" s="2"/>
      <c r="G37" s="2"/>
      <c r="H37" s="2"/>
      <c r="I37" s="2"/>
      <c r="J37" s="2"/>
    </row>
    <row r="38" spans="3:10" ht="16" customHeight="1" x14ac:dyDescent="0.2">
      <c r="C38" s="2"/>
      <c r="D38" s="2" t="str">
        <f t="shared" si="1"/>
        <v>Low</v>
      </c>
      <c r="E38" s="2"/>
      <c r="F38" s="2"/>
      <c r="G38" s="2"/>
      <c r="H38" s="2"/>
      <c r="I38" s="2"/>
      <c r="J38" s="2"/>
    </row>
    <row r="39" spans="3:10" ht="16" customHeight="1" x14ac:dyDescent="0.2">
      <c r="C39" s="2"/>
      <c r="D39" s="2" t="str">
        <f t="shared" si="1"/>
        <v>Low</v>
      </c>
      <c r="E39" s="2"/>
      <c r="F39" s="2"/>
      <c r="G39" s="2"/>
      <c r="H39" s="2"/>
      <c r="I39" s="2"/>
      <c r="J39" s="2"/>
    </row>
    <row r="40" spans="3:10" ht="16" customHeight="1" x14ac:dyDescent="0.2">
      <c r="C40" s="2"/>
      <c r="D40" s="2" t="str">
        <f t="shared" si="1"/>
        <v>Low</v>
      </c>
      <c r="E40" s="2"/>
      <c r="F40" s="2"/>
      <c r="G40" s="2"/>
      <c r="H40" s="2"/>
      <c r="I40" s="2"/>
      <c r="J40" s="2"/>
    </row>
    <row r="41" spans="3:10" ht="16" customHeight="1" x14ac:dyDescent="0.2">
      <c r="C41" s="2"/>
      <c r="D41" s="2" t="str">
        <f t="shared" si="1"/>
        <v>Low</v>
      </c>
      <c r="E41" s="2"/>
      <c r="F41" s="2"/>
      <c r="G41" s="2"/>
      <c r="H41" s="2"/>
      <c r="I41" s="2"/>
      <c r="J41" s="2"/>
    </row>
    <row r="42" spans="3:10" ht="16" customHeight="1" x14ac:dyDescent="0.2">
      <c r="C42" s="2"/>
      <c r="D42" s="2" t="str">
        <f t="shared" si="1"/>
        <v>Low</v>
      </c>
      <c r="E42" s="2"/>
      <c r="F42" s="2"/>
      <c r="G42" s="2"/>
      <c r="H42" s="2"/>
      <c r="I42" s="2"/>
      <c r="J42" s="2"/>
    </row>
    <row r="43" spans="3:10" ht="16" customHeight="1" x14ac:dyDescent="0.2">
      <c r="C43" s="2"/>
      <c r="D43" s="2" t="str">
        <f t="shared" si="1"/>
        <v>Low</v>
      </c>
      <c r="E43" s="2"/>
      <c r="F43" s="2"/>
      <c r="G43" s="2"/>
      <c r="H43" s="2"/>
      <c r="I43" s="2"/>
      <c r="J43" s="2"/>
    </row>
    <row r="44" spans="3:10" ht="16" customHeight="1" x14ac:dyDescent="0.2">
      <c r="C44" s="2"/>
      <c r="D44" s="2" t="str">
        <f t="shared" si="1"/>
        <v>Low</v>
      </c>
      <c r="E44" s="2"/>
      <c r="F44" s="2"/>
      <c r="G44" s="2"/>
      <c r="H44" s="2"/>
      <c r="I44" s="2"/>
      <c r="J44" s="2"/>
    </row>
    <row r="45" spans="3:10" ht="16" customHeight="1" x14ac:dyDescent="0.2">
      <c r="C45" s="2"/>
      <c r="D45" s="2" t="str">
        <f t="shared" si="1"/>
        <v>Low</v>
      </c>
      <c r="E45" s="2"/>
      <c r="F45" s="2"/>
      <c r="G45" s="2"/>
      <c r="H45" s="2"/>
      <c r="I45" s="2"/>
      <c r="J45" s="2"/>
    </row>
    <row r="46" spans="3:10" ht="16" customHeight="1" x14ac:dyDescent="0.2">
      <c r="C46" s="2"/>
      <c r="D46" s="2" t="str">
        <f t="shared" si="1"/>
        <v>Low</v>
      </c>
      <c r="E46" s="2"/>
      <c r="F46" s="2"/>
      <c r="G46" s="2"/>
      <c r="H46" s="2"/>
      <c r="I46" s="2"/>
      <c r="J46" s="2"/>
    </row>
    <row r="47" spans="3:10" ht="16" customHeight="1" x14ac:dyDescent="0.2">
      <c r="C47" s="2"/>
      <c r="D47" s="2" t="str">
        <f t="shared" si="1"/>
        <v>Low</v>
      </c>
      <c r="E47" s="2"/>
      <c r="F47" s="2"/>
      <c r="G47" s="2"/>
      <c r="H47" s="2"/>
      <c r="I47" s="2"/>
      <c r="J47" s="2"/>
    </row>
    <row r="48" spans="3:10" ht="16" customHeight="1" x14ac:dyDescent="0.2">
      <c r="C48" s="2"/>
      <c r="D48" s="2" t="str">
        <f t="shared" si="1"/>
        <v>Low</v>
      </c>
      <c r="E48" s="2"/>
      <c r="F48" s="2"/>
      <c r="G48" s="2"/>
      <c r="H48" s="2"/>
      <c r="I48" s="2"/>
      <c r="J48" s="2"/>
    </row>
    <row r="49" spans="3:10" ht="16" customHeight="1" x14ac:dyDescent="0.2">
      <c r="C49" s="2"/>
      <c r="D49" s="2" t="str">
        <f t="shared" si="1"/>
        <v>Low</v>
      </c>
      <c r="E49" s="2"/>
      <c r="F49" s="2"/>
      <c r="G49" s="2"/>
      <c r="H49" s="2"/>
      <c r="I49" s="2"/>
      <c r="J49" s="2"/>
    </row>
    <row r="50" spans="3:10" ht="16" customHeight="1" x14ac:dyDescent="0.2">
      <c r="C50" s="2"/>
      <c r="D50" s="2" t="str">
        <f t="shared" si="1"/>
        <v>Low</v>
      </c>
      <c r="E50" s="2"/>
      <c r="F50" s="2"/>
      <c r="G50" s="2"/>
      <c r="H50" s="2"/>
      <c r="I50" s="2"/>
      <c r="J50" s="2"/>
    </row>
    <row r="51" spans="3:10" ht="16" customHeight="1" x14ac:dyDescent="0.2">
      <c r="C51" s="2"/>
      <c r="D51" s="2" t="str">
        <f t="shared" si="1"/>
        <v>Low</v>
      </c>
      <c r="E51" s="2"/>
      <c r="F51" s="2"/>
      <c r="G51" s="2"/>
      <c r="H51" s="2"/>
      <c r="I51" s="2"/>
      <c r="J51" s="2"/>
    </row>
    <row r="52" spans="3:10" ht="16" customHeight="1" x14ac:dyDescent="0.2">
      <c r="C52" s="2"/>
      <c r="D52" s="2" t="str">
        <f t="shared" si="1"/>
        <v>Low</v>
      </c>
      <c r="E52" s="2"/>
      <c r="F52" s="2"/>
      <c r="G52" s="2"/>
      <c r="H52" s="2"/>
      <c r="I52" s="2"/>
      <c r="J52" s="2"/>
    </row>
    <row r="53" spans="3:10" ht="16" customHeight="1" x14ac:dyDescent="0.2">
      <c r="C53" s="2"/>
      <c r="D53" s="2" t="str">
        <f t="shared" si="1"/>
        <v>Low</v>
      </c>
      <c r="E53" s="2"/>
      <c r="F53" s="2"/>
      <c r="G53" s="2"/>
      <c r="H53" s="2"/>
      <c r="I53" s="2"/>
      <c r="J53" s="2"/>
    </row>
    <row r="54" spans="3:10" ht="16" customHeight="1" x14ac:dyDescent="0.2">
      <c r="C54" s="2"/>
      <c r="D54" s="2" t="str">
        <f t="shared" si="1"/>
        <v>Low</v>
      </c>
      <c r="E54" s="2"/>
      <c r="F54" s="2"/>
      <c r="G54" s="2"/>
      <c r="H54" s="2"/>
      <c r="I54" s="2"/>
      <c r="J54" s="2"/>
    </row>
    <row r="55" spans="3:10" ht="16" customHeight="1" x14ac:dyDescent="0.2">
      <c r="C55" s="2"/>
      <c r="D55" s="2" t="str">
        <f t="shared" si="1"/>
        <v>Low</v>
      </c>
      <c r="E55" s="2"/>
      <c r="F55" s="2"/>
      <c r="G55" s="2"/>
      <c r="H55" s="2"/>
      <c r="I55" s="2"/>
      <c r="J55" s="2"/>
    </row>
    <row r="56" spans="3:10" ht="16" customHeight="1" x14ac:dyDescent="0.2">
      <c r="C56" s="2"/>
      <c r="D56" s="2" t="str">
        <f t="shared" si="1"/>
        <v>Low</v>
      </c>
      <c r="E56" s="2"/>
      <c r="F56" s="2"/>
      <c r="G56" s="2"/>
      <c r="H56" s="2"/>
      <c r="I56" s="2"/>
      <c r="J56" s="2"/>
    </row>
    <row r="57" spans="3:10" ht="16" customHeight="1" x14ac:dyDescent="0.2">
      <c r="C57" s="2"/>
      <c r="D57" s="2" t="str">
        <f t="shared" si="1"/>
        <v>Low</v>
      </c>
      <c r="E57" s="2"/>
      <c r="F57" s="2"/>
      <c r="G57" s="2"/>
      <c r="H57" s="2"/>
      <c r="I57" s="2"/>
      <c r="J57" s="2"/>
    </row>
    <row r="58" spans="3:10" ht="16" customHeight="1" x14ac:dyDescent="0.2">
      <c r="C58" s="2"/>
      <c r="D58" s="2" t="str">
        <f t="shared" si="1"/>
        <v>Low</v>
      </c>
      <c r="E58" s="2"/>
      <c r="F58" s="2"/>
      <c r="G58" s="2"/>
      <c r="H58" s="2"/>
      <c r="I58" s="2"/>
      <c r="J58" s="2"/>
    </row>
    <row r="59" spans="3:10" ht="16" customHeight="1" x14ac:dyDescent="0.2">
      <c r="C59" s="2"/>
      <c r="D59" s="2" t="str">
        <f t="shared" si="1"/>
        <v>Low</v>
      </c>
      <c r="E59" s="2"/>
      <c r="F59" s="2"/>
      <c r="G59" s="2"/>
      <c r="H59" s="2"/>
      <c r="I59" s="2"/>
      <c r="J59" s="2"/>
    </row>
    <row r="60" spans="3:10" ht="16" customHeight="1" x14ac:dyDescent="0.2">
      <c r="C60" s="2"/>
      <c r="D60" s="2" t="str">
        <f t="shared" si="1"/>
        <v>Low</v>
      </c>
      <c r="E60" s="2"/>
      <c r="F60" s="2"/>
      <c r="G60" s="2"/>
      <c r="H60" s="2"/>
      <c r="I60" s="2"/>
      <c r="J60" s="2"/>
    </row>
    <row r="61" spans="3:10" ht="16" customHeight="1" x14ac:dyDescent="0.2">
      <c r="C61" s="2"/>
      <c r="D61" s="2" t="str">
        <f t="shared" si="1"/>
        <v>Low</v>
      </c>
      <c r="E61" s="2"/>
      <c r="F61" s="2"/>
      <c r="G61" s="2"/>
      <c r="H61" s="2"/>
      <c r="I61" s="2"/>
      <c r="J61" s="2"/>
    </row>
    <row r="62" spans="3:10" ht="16" customHeight="1" x14ac:dyDescent="0.2">
      <c r="C62" s="2"/>
      <c r="D62" s="2" t="str">
        <f t="shared" si="1"/>
        <v>Low</v>
      </c>
      <c r="E62" s="2"/>
      <c r="F62" s="2"/>
      <c r="G62" s="2"/>
      <c r="H62" s="2"/>
      <c r="I62" s="2"/>
      <c r="J62" s="2"/>
    </row>
    <row r="63" spans="3:10" ht="16" customHeight="1" x14ac:dyDescent="0.2">
      <c r="C63" s="2"/>
      <c r="D63" s="2" t="str">
        <f t="shared" si="1"/>
        <v>Low</v>
      </c>
      <c r="E63" s="2"/>
      <c r="F63" s="2"/>
      <c r="G63" s="2"/>
      <c r="H63" s="2"/>
      <c r="I63" s="2"/>
      <c r="J63" s="2"/>
    </row>
    <row r="64" spans="3:10" ht="16" customHeight="1" x14ac:dyDescent="0.2">
      <c r="C64" s="2"/>
      <c r="D64" s="2" t="str">
        <f t="shared" si="1"/>
        <v>Low</v>
      </c>
      <c r="E64" s="2"/>
      <c r="F64" s="2"/>
      <c r="G64" s="2"/>
      <c r="H64" s="2"/>
      <c r="I64" s="2"/>
      <c r="J64" s="2"/>
    </row>
    <row r="65" spans="3:10" ht="16" customHeight="1" x14ac:dyDescent="0.2">
      <c r="C65" s="2"/>
      <c r="D65" s="2" t="str">
        <f t="shared" si="1"/>
        <v>Low</v>
      </c>
      <c r="E65" s="2"/>
      <c r="F65" s="2"/>
      <c r="G65" s="2"/>
      <c r="H65" s="2"/>
      <c r="I65" s="2"/>
      <c r="J65" s="2"/>
    </row>
    <row r="66" spans="3:10" ht="16" customHeight="1" x14ac:dyDescent="0.2">
      <c r="C66" s="2"/>
      <c r="D66" s="2" t="str">
        <f t="shared" si="1"/>
        <v>Low</v>
      </c>
      <c r="E66" s="2"/>
      <c r="F66" s="2"/>
      <c r="G66" s="2"/>
      <c r="H66" s="2"/>
      <c r="I66" s="2"/>
      <c r="J66" s="2"/>
    </row>
    <row r="67" spans="3:10" ht="16" customHeight="1" x14ac:dyDescent="0.2">
      <c r="C67" s="2"/>
      <c r="D67" s="2" t="str">
        <f t="shared" si="1"/>
        <v>Low</v>
      </c>
      <c r="E67" s="2"/>
      <c r="F67" s="2"/>
      <c r="G67" s="2"/>
      <c r="H67" s="2"/>
      <c r="I67" s="2"/>
      <c r="J67" s="2"/>
    </row>
    <row r="68" spans="3:10" ht="16" customHeight="1" x14ac:dyDescent="0.2">
      <c r="C68" s="2"/>
      <c r="D68" s="2" t="str">
        <f t="shared" ref="D68:D99" si="2">IF(C68="Rejected","Critical", IF(AND(E68="No",I68="No"),"Critical", IF(J68="No","Critical", IF(OR( C68="Not Started", I68="No", COUNTIF(E68:G68,"No")&gt;=1 ),"High", IF(H68="No","Moderate", IF(OR(J68="To Confirm", I68="To Confirm"),"Moderate", IF(COUNTIF(E68:J68,"To Confirm")=1,"Low", IF(AND(COUNTIF(E68:J68,"Yes")=COUNTA(E68:J68)-COUNTIF(E68:J68,"N/A"),COUNTA(E68:J68)-COUNTIF(E68:J68,"N/A")&gt;0),"Low", IF(COUNTA(E68:J68)-COUNTIF(E68:J68,"N/A")=0,"Low", IF(COUNTIF(E68:J68,"Yes")/(COUNTA(E68:J68)-COUNTIF(E68:J68,"N/A"))&gt;=0.5,"Moderate", "High"))))))))))</f>
        <v>Low</v>
      </c>
      <c r="E68" s="2"/>
      <c r="F68" s="2"/>
      <c r="G68" s="2"/>
      <c r="H68" s="2"/>
      <c r="I68" s="2"/>
      <c r="J68" s="2"/>
    </row>
    <row r="69" spans="3:10" ht="16" customHeight="1" x14ac:dyDescent="0.2">
      <c r="C69" s="2"/>
      <c r="D69" s="2" t="str">
        <f t="shared" si="2"/>
        <v>Low</v>
      </c>
      <c r="E69" s="2"/>
      <c r="F69" s="2"/>
      <c r="G69" s="2"/>
      <c r="H69" s="2"/>
      <c r="I69" s="2"/>
      <c r="J69" s="2"/>
    </row>
    <row r="70" spans="3:10" ht="16" customHeight="1" x14ac:dyDescent="0.2">
      <c r="C70" s="2"/>
      <c r="D70" s="2" t="str">
        <f t="shared" si="2"/>
        <v>Low</v>
      </c>
      <c r="E70" s="2"/>
      <c r="F70" s="2"/>
      <c r="G70" s="2"/>
      <c r="H70" s="2"/>
      <c r="I70" s="2"/>
      <c r="J70" s="2"/>
    </row>
    <row r="71" spans="3:10" ht="16" customHeight="1" x14ac:dyDescent="0.2">
      <c r="C71" s="2"/>
      <c r="D71" s="2" t="str">
        <f t="shared" si="2"/>
        <v>Low</v>
      </c>
      <c r="E71" s="2"/>
      <c r="F71" s="2"/>
      <c r="G71" s="2"/>
      <c r="H71" s="2"/>
      <c r="I71" s="2"/>
      <c r="J71" s="2"/>
    </row>
    <row r="72" spans="3:10" ht="16" customHeight="1" x14ac:dyDescent="0.2">
      <c r="C72" s="2"/>
      <c r="D72" s="2" t="str">
        <f t="shared" si="2"/>
        <v>Low</v>
      </c>
      <c r="E72" s="2"/>
      <c r="F72" s="2"/>
      <c r="G72" s="2"/>
      <c r="H72" s="2"/>
      <c r="I72" s="2"/>
      <c r="J72" s="2"/>
    </row>
    <row r="73" spans="3:10" ht="16" customHeight="1" x14ac:dyDescent="0.2">
      <c r="C73" s="2"/>
      <c r="D73" s="2" t="str">
        <f t="shared" si="2"/>
        <v>Low</v>
      </c>
      <c r="E73" s="2"/>
      <c r="F73" s="2"/>
      <c r="G73" s="2"/>
      <c r="H73" s="2"/>
      <c r="I73" s="2"/>
      <c r="J73" s="2"/>
    </row>
    <row r="74" spans="3:10" ht="16" customHeight="1" x14ac:dyDescent="0.2">
      <c r="C74" s="2"/>
      <c r="D74" s="2" t="str">
        <f t="shared" si="2"/>
        <v>Low</v>
      </c>
      <c r="E74" s="2"/>
      <c r="F74" s="2"/>
      <c r="G74" s="2"/>
      <c r="H74" s="2"/>
      <c r="I74" s="2"/>
      <c r="J74" s="2"/>
    </row>
    <row r="75" spans="3:10" ht="16" customHeight="1" x14ac:dyDescent="0.2">
      <c r="C75" s="2"/>
      <c r="D75" s="2" t="str">
        <f t="shared" si="2"/>
        <v>Low</v>
      </c>
      <c r="E75" s="2"/>
      <c r="F75" s="2"/>
      <c r="G75" s="2"/>
      <c r="H75" s="2"/>
      <c r="I75" s="2"/>
      <c r="J75" s="2"/>
    </row>
    <row r="76" spans="3:10" ht="16" customHeight="1" x14ac:dyDescent="0.2">
      <c r="C76" s="2"/>
      <c r="D76" s="2" t="str">
        <f t="shared" si="2"/>
        <v>Low</v>
      </c>
      <c r="E76" s="2"/>
      <c r="F76" s="2"/>
      <c r="G76" s="2"/>
      <c r="H76" s="2"/>
      <c r="I76" s="2"/>
      <c r="J76" s="2"/>
    </row>
    <row r="77" spans="3:10" ht="16" customHeight="1" x14ac:dyDescent="0.2">
      <c r="C77" s="2"/>
      <c r="D77" s="2" t="str">
        <f t="shared" si="2"/>
        <v>Low</v>
      </c>
      <c r="E77" s="2"/>
      <c r="F77" s="2"/>
      <c r="G77" s="2"/>
      <c r="H77" s="2"/>
      <c r="I77" s="2"/>
      <c r="J77" s="2"/>
    </row>
    <row r="78" spans="3:10" ht="16" customHeight="1" x14ac:dyDescent="0.2">
      <c r="C78" s="2"/>
      <c r="D78" s="2" t="str">
        <f t="shared" si="2"/>
        <v>Low</v>
      </c>
      <c r="E78" s="2"/>
      <c r="F78" s="2"/>
      <c r="G78" s="2"/>
      <c r="H78" s="2"/>
      <c r="I78" s="2"/>
      <c r="J78" s="2"/>
    </row>
    <row r="79" spans="3:10" ht="16" customHeight="1" x14ac:dyDescent="0.2">
      <c r="C79" s="2"/>
      <c r="D79" s="2" t="str">
        <f t="shared" si="2"/>
        <v>Low</v>
      </c>
      <c r="E79" s="2"/>
      <c r="F79" s="2"/>
      <c r="G79" s="2"/>
      <c r="H79" s="2"/>
      <c r="I79" s="2"/>
      <c r="J79" s="2"/>
    </row>
    <row r="80" spans="3:10" ht="16" customHeight="1" x14ac:dyDescent="0.2">
      <c r="C80" s="2"/>
      <c r="D80" s="2" t="str">
        <f t="shared" si="2"/>
        <v>Low</v>
      </c>
      <c r="E80" s="2"/>
      <c r="F80" s="2"/>
      <c r="G80" s="2"/>
      <c r="H80" s="2"/>
      <c r="I80" s="2"/>
      <c r="J80" s="2"/>
    </row>
    <row r="81" spans="3:10" ht="16" customHeight="1" x14ac:dyDescent="0.2">
      <c r="C81" s="2"/>
      <c r="D81" s="2" t="str">
        <f t="shared" si="2"/>
        <v>Low</v>
      </c>
      <c r="E81" s="2"/>
      <c r="F81" s="2"/>
      <c r="G81" s="2"/>
      <c r="H81" s="2"/>
      <c r="I81" s="2"/>
      <c r="J81" s="2"/>
    </row>
    <row r="82" spans="3:10" ht="16" customHeight="1" x14ac:dyDescent="0.2">
      <c r="C82" s="2"/>
      <c r="D82" s="2" t="str">
        <f t="shared" si="2"/>
        <v>Low</v>
      </c>
      <c r="E82" s="2"/>
      <c r="F82" s="2"/>
      <c r="G82" s="2"/>
      <c r="H82" s="2"/>
      <c r="I82" s="2"/>
      <c r="J82" s="2"/>
    </row>
    <row r="83" spans="3:10" ht="16" customHeight="1" x14ac:dyDescent="0.2">
      <c r="C83" s="2"/>
      <c r="D83" s="2" t="str">
        <f t="shared" si="2"/>
        <v>Low</v>
      </c>
      <c r="E83" s="2"/>
      <c r="F83" s="2"/>
      <c r="G83" s="2"/>
      <c r="H83" s="2"/>
      <c r="I83" s="2"/>
      <c r="J83" s="2"/>
    </row>
    <row r="84" spans="3:10" ht="16" customHeight="1" x14ac:dyDescent="0.2">
      <c r="C84" s="2"/>
      <c r="D84" s="2" t="str">
        <f t="shared" si="2"/>
        <v>Low</v>
      </c>
      <c r="E84" s="2"/>
      <c r="F84" s="2"/>
      <c r="G84" s="2"/>
      <c r="H84" s="2"/>
      <c r="I84" s="2"/>
      <c r="J84" s="2"/>
    </row>
    <row r="85" spans="3:10" ht="16" customHeight="1" x14ac:dyDescent="0.2">
      <c r="C85" s="2"/>
      <c r="D85" s="2" t="str">
        <f t="shared" si="2"/>
        <v>Low</v>
      </c>
      <c r="E85" s="2"/>
      <c r="F85" s="2"/>
      <c r="G85" s="2"/>
      <c r="H85" s="2"/>
      <c r="I85" s="2"/>
      <c r="J85" s="2"/>
    </row>
    <row r="86" spans="3:10" ht="16" customHeight="1" x14ac:dyDescent="0.2">
      <c r="C86" s="2"/>
      <c r="D86" s="2" t="str">
        <f t="shared" si="2"/>
        <v>Low</v>
      </c>
      <c r="E86" s="2"/>
      <c r="F86" s="2"/>
      <c r="G86" s="2"/>
      <c r="H86" s="2"/>
      <c r="I86" s="2"/>
      <c r="J86" s="2"/>
    </row>
    <row r="87" spans="3:10" ht="16" customHeight="1" x14ac:dyDescent="0.2">
      <c r="C87" s="2"/>
      <c r="D87" s="2" t="str">
        <f t="shared" si="2"/>
        <v>Low</v>
      </c>
      <c r="E87" s="2"/>
      <c r="F87" s="2"/>
      <c r="G87" s="2"/>
      <c r="H87" s="2"/>
      <c r="I87" s="2"/>
      <c r="J87" s="2"/>
    </row>
    <row r="88" spans="3:10" ht="16" customHeight="1" x14ac:dyDescent="0.2">
      <c r="C88" s="2"/>
      <c r="D88" s="2" t="str">
        <f t="shared" si="2"/>
        <v>Low</v>
      </c>
      <c r="E88" s="2"/>
      <c r="F88" s="2"/>
      <c r="G88" s="2"/>
      <c r="H88" s="2"/>
      <c r="I88" s="2"/>
      <c r="J88" s="2"/>
    </row>
    <row r="89" spans="3:10" ht="16" customHeight="1" x14ac:dyDescent="0.2">
      <c r="C89" s="2"/>
      <c r="D89" s="2" t="str">
        <f t="shared" si="2"/>
        <v>Low</v>
      </c>
      <c r="E89" s="2"/>
      <c r="F89" s="2"/>
      <c r="G89" s="2"/>
      <c r="H89" s="2"/>
      <c r="I89" s="2"/>
      <c r="J89" s="2"/>
    </row>
    <row r="90" spans="3:10" ht="16" customHeight="1" x14ac:dyDescent="0.2">
      <c r="C90" s="2"/>
      <c r="D90" s="2" t="str">
        <f t="shared" si="2"/>
        <v>Low</v>
      </c>
      <c r="E90" s="2"/>
      <c r="F90" s="2"/>
      <c r="G90" s="2"/>
      <c r="H90" s="2"/>
      <c r="I90" s="2"/>
      <c r="J90" s="2"/>
    </row>
    <row r="91" spans="3:10" ht="16" customHeight="1" x14ac:dyDescent="0.2">
      <c r="C91" s="2"/>
      <c r="D91" s="2" t="str">
        <f t="shared" si="2"/>
        <v>Low</v>
      </c>
      <c r="E91" s="2"/>
      <c r="F91" s="2"/>
      <c r="G91" s="2"/>
      <c r="H91" s="2"/>
      <c r="I91" s="2"/>
      <c r="J91" s="2"/>
    </row>
    <row r="92" spans="3:10" ht="16" customHeight="1" x14ac:dyDescent="0.2">
      <c r="C92" s="2"/>
      <c r="D92" s="2" t="str">
        <f t="shared" si="2"/>
        <v>Low</v>
      </c>
      <c r="E92" s="2"/>
      <c r="F92" s="2"/>
      <c r="G92" s="2"/>
      <c r="H92" s="2"/>
      <c r="I92" s="2"/>
      <c r="J92" s="2"/>
    </row>
    <row r="93" spans="3:10" ht="16" customHeight="1" x14ac:dyDescent="0.2">
      <c r="C93" s="2"/>
      <c r="D93" s="2" t="str">
        <f t="shared" si="2"/>
        <v>Low</v>
      </c>
      <c r="E93" s="2"/>
      <c r="F93" s="2"/>
      <c r="G93" s="2"/>
      <c r="H93" s="2"/>
      <c r="I93" s="2"/>
      <c r="J93" s="2"/>
    </row>
    <row r="94" spans="3:10" ht="16" customHeight="1" x14ac:dyDescent="0.2">
      <c r="C94" s="2"/>
      <c r="D94" s="2" t="str">
        <f t="shared" si="2"/>
        <v>Low</v>
      </c>
      <c r="E94" s="2"/>
      <c r="F94" s="2"/>
      <c r="G94" s="2"/>
      <c r="H94" s="2"/>
      <c r="I94" s="2"/>
      <c r="J94" s="2"/>
    </row>
    <row r="95" spans="3:10" ht="16" customHeight="1" x14ac:dyDescent="0.2">
      <c r="C95" s="2"/>
      <c r="D95" s="2" t="str">
        <f t="shared" si="2"/>
        <v>Low</v>
      </c>
      <c r="E95" s="2"/>
      <c r="F95" s="2"/>
      <c r="G95" s="2"/>
      <c r="H95" s="2"/>
      <c r="I95" s="2"/>
      <c r="J95" s="2"/>
    </row>
    <row r="96" spans="3:10" ht="16" customHeight="1" x14ac:dyDescent="0.2">
      <c r="C96" s="2"/>
      <c r="D96" s="2" t="str">
        <f t="shared" si="2"/>
        <v>Low</v>
      </c>
      <c r="E96" s="2"/>
      <c r="F96" s="2"/>
      <c r="G96" s="2"/>
      <c r="H96" s="2"/>
      <c r="I96" s="2"/>
      <c r="J96" s="2"/>
    </row>
    <row r="97" spans="3:10" ht="16" customHeight="1" x14ac:dyDescent="0.2">
      <c r="C97" s="2"/>
      <c r="D97" s="2" t="str">
        <f t="shared" si="2"/>
        <v>Low</v>
      </c>
      <c r="E97" s="2"/>
      <c r="F97" s="2"/>
      <c r="G97" s="2"/>
      <c r="H97" s="2"/>
      <c r="I97" s="2"/>
      <c r="J97" s="2"/>
    </row>
    <row r="98" spans="3:10" ht="16" customHeight="1" x14ac:dyDescent="0.2">
      <c r="C98" s="2"/>
      <c r="D98" s="2" t="str">
        <f t="shared" si="2"/>
        <v>Low</v>
      </c>
      <c r="E98" s="2"/>
      <c r="F98" s="2"/>
      <c r="G98" s="2"/>
      <c r="H98" s="2"/>
      <c r="I98" s="2"/>
      <c r="J98" s="2"/>
    </row>
    <row r="99" spans="3:10" ht="16" customHeight="1" x14ac:dyDescent="0.2">
      <c r="C99" s="2"/>
      <c r="D99" s="2" t="str">
        <f t="shared" si="2"/>
        <v>Low</v>
      </c>
      <c r="E99" s="2"/>
      <c r="F99" s="2"/>
      <c r="G99" s="2"/>
      <c r="H99" s="2"/>
      <c r="I99" s="2"/>
      <c r="J99" s="2"/>
    </row>
    <row r="100" spans="3:10" ht="16" customHeight="1" x14ac:dyDescent="0.2">
      <c r="C100" s="2"/>
      <c r="D100" s="2" t="str">
        <f t="shared" ref="D100:D131" si="3">IF(C100="Rejected","Critical", IF(AND(E100="No",I100="No"),"Critical", IF(J100="No","Critical", IF(OR( C100="Not Started", I100="No", COUNTIF(E100:G100,"No")&gt;=1 ),"High", IF(H100="No","Moderate", IF(OR(J100="To Confirm", I100="To Confirm"),"Moderate", IF(COUNTIF(E100:J100,"To Confirm")=1,"Low", IF(AND(COUNTIF(E100:J100,"Yes")=COUNTA(E100:J100)-COUNTIF(E100:J100,"N/A"),COUNTA(E100:J100)-COUNTIF(E100:J100,"N/A")&gt;0),"Low", IF(COUNTA(E100:J100)-COUNTIF(E100:J100,"N/A")=0,"Low", IF(COUNTIF(E100:J100,"Yes")/(COUNTA(E100:J100)-COUNTIF(E100:J100,"N/A"))&gt;=0.5,"Moderate", "High"))))))))))</f>
        <v>Low</v>
      </c>
      <c r="E100" s="2"/>
      <c r="F100" s="2"/>
      <c r="G100" s="2"/>
      <c r="H100" s="2"/>
      <c r="I100" s="2"/>
      <c r="J100" s="2"/>
    </row>
    <row r="101" spans="3:10" ht="16" customHeight="1" x14ac:dyDescent="0.2">
      <c r="C101" s="2"/>
      <c r="D101" s="2" t="str">
        <f t="shared" si="3"/>
        <v>Low</v>
      </c>
      <c r="E101" s="2"/>
      <c r="F101" s="2"/>
      <c r="G101" s="2"/>
      <c r="H101" s="2"/>
      <c r="I101" s="2"/>
      <c r="J101" s="2"/>
    </row>
    <row r="102" spans="3:10" ht="16" customHeight="1" x14ac:dyDescent="0.2">
      <c r="C102" s="2"/>
      <c r="D102" s="2" t="str">
        <f t="shared" si="3"/>
        <v>Low</v>
      </c>
      <c r="E102" s="2"/>
      <c r="F102" s="2"/>
      <c r="G102" s="2"/>
      <c r="H102" s="2"/>
      <c r="I102" s="2"/>
      <c r="J102" s="2"/>
    </row>
    <row r="103" spans="3:10" ht="16" customHeight="1" x14ac:dyDescent="0.2">
      <c r="C103" s="2"/>
      <c r="D103" s="2" t="str">
        <f t="shared" si="3"/>
        <v>Low</v>
      </c>
      <c r="E103" s="2"/>
      <c r="F103" s="2"/>
      <c r="G103" s="2"/>
      <c r="H103" s="2"/>
      <c r="I103" s="2"/>
      <c r="J103" s="2"/>
    </row>
    <row r="104" spans="3:10" ht="16" customHeight="1" x14ac:dyDescent="0.2">
      <c r="C104" s="2"/>
      <c r="D104" s="2" t="str">
        <f t="shared" si="3"/>
        <v>Low</v>
      </c>
      <c r="E104" s="2"/>
      <c r="F104" s="2"/>
      <c r="G104" s="2"/>
      <c r="H104" s="2"/>
      <c r="I104" s="2"/>
      <c r="J104" s="2"/>
    </row>
    <row r="105" spans="3:10" ht="16" customHeight="1" x14ac:dyDescent="0.2">
      <c r="C105" s="2"/>
      <c r="D105" s="2" t="str">
        <f t="shared" si="3"/>
        <v>Low</v>
      </c>
      <c r="E105" s="2"/>
      <c r="F105" s="2"/>
      <c r="G105" s="2"/>
      <c r="H105" s="2"/>
      <c r="I105" s="2"/>
      <c r="J105" s="2"/>
    </row>
    <row r="106" spans="3:10" ht="16" customHeight="1" x14ac:dyDescent="0.2">
      <c r="C106" s="2"/>
      <c r="D106" s="2" t="str">
        <f t="shared" si="3"/>
        <v>Low</v>
      </c>
      <c r="E106" s="2"/>
      <c r="F106" s="2"/>
      <c r="G106" s="2"/>
      <c r="H106" s="2"/>
      <c r="I106" s="2"/>
      <c r="J106" s="2"/>
    </row>
    <row r="107" spans="3:10" ht="16" customHeight="1" x14ac:dyDescent="0.2">
      <c r="C107" s="2"/>
      <c r="D107" s="2" t="str">
        <f t="shared" si="3"/>
        <v>Low</v>
      </c>
      <c r="E107" s="2"/>
      <c r="F107" s="2"/>
      <c r="G107" s="2"/>
      <c r="H107" s="2"/>
      <c r="I107" s="2"/>
      <c r="J107" s="2"/>
    </row>
    <row r="108" spans="3:10" ht="16" customHeight="1" x14ac:dyDescent="0.2">
      <c r="C108" s="2"/>
      <c r="D108" s="2" t="str">
        <f t="shared" si="3"/>
        <v>Low</v>
      </c>
      <c r="E108" s="2"/>
      <c r="F108" s="2"/>
      <c r="G108" s="2"/>
      <c r="H108" s="2"/>
      <c r="I108" s="2"/>
      <c r="J108" s="2"/>
    </row>
    <row r="109" spans="3:10" ht="16" customHeight="1" x14ac:dyDescent="0.2">
      <c r="C109" s="2"/>
      <c r="D109" s="2" t="str">
        <f t="shared" si="3"/>
        <v>Low</v>
      </c>
      <c r="E109" s="2"/>
      <c r="F109" s="2"/>
      <c r="G109" s="2"/>
      <c r="H109" s="2"/>
      <c r="I109" s="2"/>
      <c r="J109" s="2"/>
    </row>
    <row r="110" spans="3:10" ht="16" customHeight="1" x14ac:dyDescent="0.2">
      <c r="C110" s="2"/>
      <c r="D110" s="2" t="str">
        <f t="shared" si="3"/>
        <v>Low</v>
      </c>
      <c r="E110" s="2"/>
      <c r="F110" s="2"/>
      <c r="G110" s="2"/>
      <c r="H110" s="2"/>
      <c r="I110" s="2"/>
      <c r="J110" s="2"/>
    </row>
    <row r="111" spans="3:10" ht="16" customHeight="1" x14ac:dyDescent="0.2">
      <c r="C111" s="2"/>
      <c r="D111" s="2" t="str">
        <f t="shared" si="3"/>
        <v>Low</v>
      </c>
      <c r="E111" s="2"/>
      <c r="F111" s="2"/>
      <c r="G111" s="2"/>
      <c r="H111" s="2"/>
      <c r="I111" s="2"/>
      <c r="J111" s="2"/>
    </row>
    <row r="112" spans="3:10" ht="16" customHeight="1" x14ac:dyDescent="0.2">
      <c r="C112" s="2"/>
      <c r="D112" s="2" t="str">
        <f t="shared" si="3"/>
        <v>Low</v>
      </c>
      <c r="E112" s="2"/>
      <c r="F112" s="2"/>
      <c r="G112" s="2"/>
      <c r="H112" s="2"/>
      <c r="I112" s="2"/>
      <c r="J112" s="2"/>
    </row>
    <row r="113" spans="3:10" ht="16" customHeight="1" x14ac:dyDescent="0.2">
      <c r="C113" s="2"/>
      <c r="D113" s="2" t="str">
        <f t="shared" si="3"/>
        <v>Low</v>
      </c>
      <c r="E113" s="2"/>
      <c r="F113" s="2"/>
      <c r="G113" s="2"/>
      <c r="H113" s="2"/>
      <c r="I113" s="2"/>
      <c r="J113" s="2"/>
    </row>
    <row r="114" spans="3:10" ht="16" customHeight="1" x14ac:dyDescent="0.2">
      <c r="C114" s="2"/>
      <c r="D114" s="2" t="str">
        <f t="shared" si="3"/>
        <v>Low</v>
      </c>
      <c r="E114" s="2"/>
      <c r="F114" s="2"/>
      <c r="G114" s="2"/>
      <c r="H114" s="2"/>
      <c r="I114" s="2"/>
      <c r="J114" s="2"/>
    </row>
    <row r="115" spans="3:10" ht="16" customHeight="1" x14ac:dyDescent="0.2">
      <c r="C115" s="2"/>
      <c r="D115" s="2" t="str">
        <f t="shared" si="3"/>
        <v>Low</v>
      </c>
      <c r="E115" s="2"/>
      <c r="F115" s="2"/>
      <c r="G115" s="2"/>
      <c r="H115" s="2"/>
      <c r="I115" s="2"/>
      <c r="J115" s="2"/>
    </row>
    <row r="116" spans="3:10" ht="16" customHeight="1" x14ac:dyDescent="0.2">
      <c r="C116" s="2"/>
      <c r="D116" s="2" t="str">
        <f t="shared" si="3"/>
        <v>Low</v>
      </c>
      <c r="E116" s="2"/>
      <c r="F116" s="2"/>
      <c r="G116" s="2"/>
      <c r="H116" s="2"/>
      <c r="I116" s="2"/>
      <c r="J116" s="2"/>
    </row>
    <row r="117" spans="3:10" ht="16" customHeight="1" x14ac:dyDescent="0.2">
      <c r="C117" s="2"/>
      <c r="D117" s="2" t="str">
        <f t="shared" si="3"/>
        <v>Low</v>
      </c>
      <c r="E117" s="2"/>
      <c r="F117" s="2"/>
      <c r="G117" s="2"/>
      <c r="H117" s="2"/>
      <c r="I117" s="2"/>
      <c r="J117" s="2"/>
    </row>
    <row r="118" spans="3:10" ht="16" customHeight="1" x14ac:dyDescent="0.2">
      <c r="C118" s="2"/>
      <c r="D118" s="2" t="str">
        <f t="shared" si="3"/>
        <v>Low</v>
      </c>
      <c r="E118" s="2"/>
      <c r="F118" s="2"/>
      <c r="G118" s="2"/>
      <c r="H118" s="2"/>
      <c r="I118" s="2"/>
      <c r="J118" s="2"/>
    </row>
    <row r="119" spans="3:10" ht="16" customHeight="1" x14ac:dyDescent="0.2">
      <c r="C119" s="2"/>
      <c r="D119" s="2" t="str">
        <f t="shared" si="3"/>
        <v>Low</v>
      </c>
      <c r="E119" s="2"/>
      <c r="F119" s="2"/>
      <c r="G119" s="2"/>
      <c r="H119" s="2"/>
      <c r="I119" s="2"/>
      <c r="J119" s="2"/>
    </row>
    <row r="120" spans="3:10" ht="16" customHeight="1" x14ac:dyDescent="0.2">
      <c r="C120" s="2"/>
      <c r="D120" s="2" t="str">
        <f t="shared" si="3"/>
        <v>Low</v>
      </c>
      <c r="E120" s="2"/>
      <c r="F120" s="2"/>
      <c r="G120" s="2"/>
      <c r="H120" s="2"/>
      <c r="I120" s="2"/>
      <c r="J120" s="2"/>
    </row>
    <row r="121" spans="3:10" ht="16" customHeight="1" x14ac:dyDescent="0.2">
      <c r="C121" s="2"/>
      <c r="D121" s="2" t="str">
        <f t="shared" si="3"/>
        <v>Low</v>
      </c>
      <c r="E121" s="2"/>
      <c r="F121" s="2"/>
      <c r="G121" s="2"/>
      <c r="H121" s="2"/>
      <c r="I121" s="2"/>
      <c r="J121" s="2"/>
    </row>
    <row r="122" spans="3:10" ht="16" customHeight="1" x14ac:dyDescent="0.2">
      <c r="C122" s="2"/>
      <c r="D122" s="2" t="str">
        <f t="shared" si="3"/>
        <v>Low</v>
      </c>
      <c r="E122" s="2"/>
      <c r="F122" s="2"/>
      <c r="G122" s="2"/>
      <c r="H122" s="2"/>
      <c r="I122" s="2"/>
      <c r="J122" s="2"/>
    </row>
    <row r="123" spans="3:10" ht="16" customHeight="1" x14ac:dyDescent="0.2">
      <c r="C123" s="2"/>
      <c r="D123" s="2" t="str">
        <f t="shared" si="3"/>
        <v>Low</v>
      </c>
      <c r="E123" s="2"/>
      <c r="F123" s="2"/>
      <c r="G123" s="2"/>
      <c r="H123" s="2"/>
      <c r="I123" s="2"/>
      <c r="J123" s="2"/>
    </row>
    <row r="124" spans="3:10" ht="16" customHeight="1" x14ac:dyDescent="0.2">
      <c r="C124" s="2"/>
      <c r="D124" s="2" t="str">
        <f t="shared" si="3"/>
        <v>Low</v>
      </c>
      <c r="E124" s="2"/>
      <c r="F124" s="2"/>
      <c r="G124" s="2"/>
      <c r="H124" s="2"/>
      <c r="I124" s="2"/>
      <c r="J124" s="2"/>
    </row>
    <row r="125" spans="3:10" ht="16" customHeight="1" x14ac:dyDescent="0.2">
      <c r="C125" s="2"/>
      <c r="D125" s="2" t="str">
        <f t="shared" si="3"/>
        <v>Low</v>
      </c>
      <c r="E125" s="2"/>
      <c r="F125" s="2"/>
      <c r="G125" s="2"/>
      <c r="H125" s="2"/>
      <c r="I125" s="2"/>
      <c r="J125" s="2"/>
    </row>
    <row r="126" spans="3:10" ht="16" customHeight="1" x14ac:dyDescent="0.2">
      <c r="C126" s="2"/>
      <c r="D126" s="2" t="str">
        <f t="shared" si="3"/>
        <v>Low</v>
      </c>
      <c r="E126" s="2"/>
      <c r="F126" s="2"/>
      <c r="G126" s="2"/>
      <c r="H126" s="2"/>
      <c r="I126" s="2"/>
      <c r="J126" s="2"/>
    </row>
    <row r="127" spans="3:10" ht="16" customHeight="1" x14ac:dyDescent="0.2">
      <c r="C127" s="2"/>
      <c r="D127" s="2" t="str">
        <f t="shared" si="3"/>
        <v>Low</v>
      </c>
      <c r="E127" s="2"/>
      <c r="F127" s="2"/>
      <c r="G127" s="2"/>
      <c r="H127" s="2"/>
      <c r="I127" s="2"/>
      <c r="J127" s="2"/>
    </row>
    <row r="128" spans="3:10" ht="16" customHeight="1" x14ac:dyDescent="0.2">
      <c r="C128" s="2"/>
      <c r="D128" s="2" t="str">
        <f t="shared" si="3"/>
        <v>Low</v>
      </c>
      <c r="E128" s="2"/>
      <c r="F128" s="2"/>
      <c r="G128" s="2"/>
      <c r="H128" s="2"/>
      <c r="I128" s="2"/>
      <c r="J128" s="2"/>
    </row>
    <row r="129" spans="3:10" ht="16" customHeight="1" x14ac:dyDescent="0.2">
      <c r="C129" s="2"/>
      <c r="D129" s="2" t="str">
        <f t="shared" si="3"/>
        <v>Low</v>
      </c>
      <c r="E129" s="2"/>
      <c r="F129" s="2"/>
      <c r="G129" s="2"/>
      <c r="H129" s="2"/>
      <c r="I129" s="2"/>
      <c r="J129" s="2"/>
    </row>
    <row r="130" spans="3:10" ht="16" customHeight="1" x14ac:dyDescent="0.2">
      <c r="C130" s="2"/>
      <c r="D130" s="2" t="str">
        <f t="shared" si="3"/>
        <v>Low</v>
      </c>
      <c r="E130" s="2"/>
      <c r="F130" s="2"/>
      <c r="G130" s="2"/>
      <c r="H130" s="2"/>
      <c r="I130" s="2"/>
      <c r="J130" s="2"/>
    </row>
    <row r="131" spans="3:10" ht="16" customHeight="1" x14ac:dyDescent="0.2">
      <c r="C131" s="2"/>
      <c r="D131" s="2" t="str">
        <f t="shared" si="3"/>
        <v>Low</v>
      </c>
      <c r="E131" s="2"/>
      <c r="F131" s="2"/>
      <c r="G131" s="2"/>
      <c r="H131" s="2"/>
      <c r="I131" s="2"/>
      <c r="J131" s="2"/>
    </row>
    <row r="132" spans="3:10" ht="16" customHeight="1" x14ac:dyDescent="0.2">
      <c r="C132" s="2"/>
      <c r="D132" s="2" t="str">
        <f t="shared" ref="D132:D163" si="4">IF(C132="Rejected","Critical", IF(AND(E132="No",I132="No"),"Critical", IF(J132="No","Critical", IF(OR( C132="Not Started", I132="No", COUNTIF(E132:G132,"No")&gt;=1 ),"High", IF(H132="No","Moderate", IF(OR(J132="To Confirm", I132="To Confirm"),"Moderate", IF(COUNTIF(E132:J132,"To Confirm")=1,"Low", IF(AND(COUNTIF(E132:J132,"Yes")=COUNTA(E132:J132)-COUNTIF(E132:J132,"N/A"),COUNTA(E132:J132)-COUNTIF(E132:J132,"N/A")&gt;0),"Low", IF(COUNTA(E132:J132)-COUNTIF(E132:J132,"N/A")=0,"Low", IF(COUNTIF(E132:J132,"Yes")/(COUNTA(E132:J132)-COUNTIF(E132:J132,"N/A"))&gt;=0.5,"Moderate", "High"))))))))))</f>
        <v>Low</v>
      </c>
      <c r="E132" s="2"/>
      <c r="F132" s="2"/>
      <c r="G132" s="2"/>
      <c r="H132" s="2"/>
      <c r="I132" s="2"/>
      <c r="J132" s="2"/>
    </row>
    <row r="133" spans="3:10" ht="16" customHeight="1" x14ac:dyDescent="0.2">
      <c r="C133" s="2"/>
      <c r="D133" s="2" t="str">
        <f t="shared" si="4"/>
        <v>Low</v>
      </c>
      <c r="E133" s="2"/>
      <c r="F133" s="2"/>
      <c r="G133" s="2"/>
      <c r="H133" s="2"/>
      <c r="I133" s="2"/>
      <c r="J133" s="2"/>
    </row>
    <row r="134" spans="3:10" ht="16" customHeight="1" x14ac:dyDescent="0.2">
      <c r="C134" s="2"/>
      <c r="D134" s="2" t="str">
        <f t="shared" si="4"/>
        <v>Low</v>
      </c>
      <c r="E134" s="2"/>
      <c r="F134" s="2"/>
      <c r="G134" s="2"/>
      <c r="H134" s="2"/>
      <c r="I134" s="2"/>
      <c r="J134" s="2"/>
    </row>
    <row r="135" spans="3:10" ht="16" customHeight="1" x14ac:dyDescent="0.2">
      <c r="C135" s="2"/>
      <c r="D135" s="2" t="str">
        <f t="shared" si="4"/>
        <v>Low</v>
      </c>
      <c r="E135" s="2"/>
      <c r="F135" s="2"/>
      <c r="G135" s="2"/>
      <c r="H135" s="2"/>
      <c r="I135" s="2"/>
      <c r="J135" s="2"/>
    </row>
    <row r="136" spans="3:10" ht="16" customHeight="1" x14ac:dyDescent="0.2">
      <c r="C136" s="2"/>
      <c r="D136" s="2" t="str">
        <f t="shared" si="4"/>
        <v>Low</v>
      </c>
      <c r="E136" s="2"/>
      <c r="F136" s="2"/>
      <c r="G136" s="2"/>
      <c r="H136" s="2"/>
      <c r="I136" s="2"/>
      <c r="J136" s="2"/>
    </row>
    <row r="137" spans="3:10" ht="16" customHeight="1" x14ac:dyDescent="0.2">
      <c r="C137" s="2"/>
      <c r="D137" s="2" t="str">
        <f t="shared" si="4"/>
        <v>Low</v>
      </c>
      <c r="E137" s="2"/>
      <c r="F137" s="2"/>
      <c r="G137" s="2"/>
      <c r="H137" s="2"/>
      <c r="I137" s="2"/>
      <c r="J137" s="2"/>
    </row>
    <row r="138" spans="3:10" ht="16" customHeight="1" x14ac:dyDescent="0.2">
      <c r="C138" s="2"/>
      <c r="D138" s="2" t="str">
        <f t="shared" si="4"/>
        <v>Low</v>
      </c>
      <c r="E138" s="2"/>
      <c r="F138" s="2"/>
      <c r="G138" s="2"/>
      <c r="H138" s="2"/>
      <c r="I138" s="2"/>
      <c r="J138" s="2"/>
    </row>
    <row r="139" spans="3:10" ht="16" customHeight="1" x14ac:dyDescent="0.2">
      <c r="C139" s="2"/>
      <c r="D139" s="2" t="str">
        <f t="shared" si="4"/>
        <v>Low</v>
      </c>
      <c r="E139" s="2"/>
      <c r="F139" s="2"/>
      <c r="G139" s="2"/>
      <c r="H139" s="2"/>
      <c r="I139" s="2"/>
      <c r="J139" s="2"/>
    </row>
    <row r="140" spans="3:10" ht="16" customHeight="1" x14ac:dyDescent="0.2">
      <c r="C140" s="2"/>
      <c r="D140" s="2" t="str">
        <f t="shared" si="4"/>
        <v>Low</v>
      </c>
      <c r="E140" s="2"/>
      <c r="F140" s="2"/>
      <c r="G140" s="2"/>
      <c r="H140" s="2"/>
      <c r="I140" s="2"/>
      <c r="J140" s="2"/>
    </row>
    <row r="141" spans="3:10" ht="16" customHeight="1" x14ac:dyDescent="0.2">
      <c r="C141" s="2"/>
      <c r="D141" s="2" t="str">
        <f t="shared" si="4"/>
        <v>Low</v>
      </c>
      <c r="E141" s="2"/>
      <c r="F141" s="2"/>
      <c r="G141" s="2"/>
      <c r="H141" s="2"/>
      <c r="I141" s="2"/>
      <c r="J141" s="2"/>
    </row>
    <row r="142" spans="3:10" ht="16" customHeight="1" x14ac:dyDescent="0.2">
      <c r="C142" s="2"/>
      <c r="D142" s="2" t="str">
        <f t="shared" si="4"/>
        <v>Low</v>
      </c>
      <c r="E142" s="2"/>
      <c r="F142" s="2"/>
      <c r="G142" s="2"/>
      <c r="H142" s="2"/>
      <c r="I142" s="2"/>
      <c r="J142" s="2"/>
    </row>
    <row r="143" spans="3:10" ht="16" customHeight="1" x14ac:dyDescent="0.2">
      <c r="C143" s="2"/>
      <c r="D143" s="2" t="str">
        <f t="shared" si="4"/>
        <v>Low</v>
      </c>
      <c r="E143" s="2"/>
      <c r="F143" s="2"/>
      <c r="G143" s="2"/>
      <c r="H143" s="2"/>
      <c r="I143" s="2"/>
      <c r="J143" s="2"/>
    </row>
    <row r="144" spans="3:10" ht="16" customHeight="1" x14ac:dyDescent="0.2">
      <c r="C144" s="2"/>
      <c r="D144" s="2" t="str">
        <f t="shared" si="4"/>
        <v>Low</v>
      </c>
      <c r="E144" s="2"/>
      <c r="F144" s="2"/>
      <c r="G144" s="2"/>
      <c r="H144" s="2"/>
      <c r="I144" s="2"/>
      <c r="J144" s="2"/>
    </row>
    <row r="145" spans="3:10" ht="16" customHeight="1" x14ac:dyDescent="0.2">
      <c r="C145" s="2"/>
      <c r="D145" s="2" t="str">
        <f t="shared" si="4"/>
        <v>Low</v>
      </c>
      <c r="E145" s="2"/>
      <c r="F145" s="2"/>
      <c r="G145" s="2"/>
      <c r="H145" s="2"/>
      <c r="I145" s="2"/>
      <c r="J145" s="2"/>
    </row>
    <row r="146" spans="3:10" ht="16" customHeight="1" x14ac:dyDescent="0.2">
      <c r="C146" s="2"/>
      <c r="D146" s="2" t="str">
        <f t="shared" si="4"/>
        <v>Low</v>
      </c>
      <c r="E146" s="2"/>
      <c r="F146" s="2"/>
      <c r="G146" s="2"/>
      <c r="H146" s="2"/>
      <c r="I146" s="2"/>
      <c r="J146" s="2"/>
    </row>
    <row r="147" spans="3:10" ht="16" customHeight="1" x14ac:dyDescent="0.2">
      <c r="C147" s="2"/>
      <c r="D147" s="2" t="str">
        <f t="shared" si="4"/>
        <v>Low</v>
      </c>
      <c r="E147" s="2"/>
      <c r="F147" s="2"/>
      <c r="G147" s="2"/>
      <c r="H147" s="2"/>
      <c r="I147" s="2"/>
      <c r="J147" s="2"/>
    </row>
    <row r="148" spans="3:10" ht="16" customHeight="1" x14ac:dyDescent="0.2">
      <c r="C148" s="2"/>
      <c r="D148" s="2" t="str">
        <f t="shared" si="4"/>
        <v>Low</v>
      </c>
      <c r="E148" s="2"/>
      <c r="F148" s="2"/>
      <c r="G148" s="2"/>
      <c r="H148" s="2"/>
      <c r="I148" s="2"/>
      <c r="J148" s="2"/>
    </row>
    <row r="149" spans="3:10" ht="16" customHeight="1" x14ac:dyDescent="0.2">
      <c r="C149" s="2"/>
      <c r="D149" s="2" t="str">
        <f t="shared" si="4"/>
        <v>Low</v>
      </c>
      <c r="E149" s="2"/>
      <c r="F149" s="2"/>
      <c r="G149" s="2"/>
      <c r="H149" s="2"/>
      <c r="I149" s="2"/>
      <c r="J149" s="2"/>
    </row>
    <row r="150" spans="3:10" ht="16" customHeight="1" x14ac:dyDescent="0.2">
      <c r="C150" s="2"/>
      <c r="D150" s="2" t="str">
        <f t="shared" si="4"/>
        <v>Low</v>
      </c>
      <c r="E150" s="2"/>
      <c r="F150" s="2"/>
      <c r="G150" s="2"/>
      <c r="H150" s="2"/>
      <c r="I150" s="2"/>
      <c r="J150" s="2"/>
    </row>
    <row r="151" spans="3:10" ht="16" customHeight="1" x14ac:dyDescent="0.2">
      <c r="C151" s="2"/>
      <c r="D151" s="2" t="str">
        <f t="shared" si="4"/>
        <v>Low</v>
      </c>
      <c r="E151" s="2"/>
      <c r="F151" s="2"/>
      <c r="G151" s="2"/>
      <c r="H151" s="2"/>
      <c r="I151" s="2"/>
      <c r="J151" s="2"/>
    </row>
    <row r="152" spans="3:10" ht="16" customHeight="1" x14ac:dyDescent="0.2">
      <c r="C152" s="2"/>
      <c r="D152" s="2" t="str">
        <f t="shared" si="4"/>
        <v>Low</v>
      </c>
      <c r="E152" s="2"/>
      <c r="F152" s="2"/>
      <c r="G152" s="2"/>
      <c r="H152" s="2"/>
      <c r="I152" s="2"/>
      <c r="J152" s="2"/>
    </row>
    <row r="153" spans="3:10" ht="16" customHeight="1" x14ac:dyDescent="0.2">
      <c r="C153" s="2"/>
      <c r="D153" s="2" t="str">
        <f t="shared" si="4"/>
        <v>Low</v>
      </c>
      <c r="E153" s="2"/>
      <c r="F153" s="2"/>
      <c r="G153" s="2"/>
      <c r="H153" s="2"/>
      <c r="I153" s="2"/>
      <c r="J153" s="2"/>
    </row>
    <row r="154" spans="3:10" ht="16" customHeight="1" x14ac:dyDescent="0.2">
      <c r="C154" s="2"/>
      <c r="D154" s="2" t="str">
        <f t="shared" si="4"/>
        <v>Low</v>
      </c>
      <c r="E154" s="2"/>
      <c r="F154" s="2"/>
      <c r="G154" s="2"/>
      <c r="H154" s="2"/>
      <c r="I154" s="2"/>
      <c r="J154" s="2"/>
    </row>
    <row r="155" spans="3:10" ht="16" customHeight="1" x14ac:dyDescent="0.2">
      <c r="C155" s="2"/>
      <c r="D155" s="2" t="str">
        <f t="shared" si="4"/>
        <v>Low</v>
      </c>
      <c r="E155" s="2"/>
      <c r="F155" s="2"/>
      <c r="G155" s="2"/>
      <c r="H155" s="2"/>
      <c r="I155" s="2"/>
      <c r="J155" s="2"/>
    </row>
    <row r="156" spans="3:10" ht="16" customHeight="1" x14ac:dyDescent="0.2">
      <c r="C156" s="2"/>
      <c r="D156" s="2" t="str">
        <f t="shared" si="4"/>
        <v>Low</v>
      </c>
      <c r="E156" s="2"/>
      <c r="F156" s="2"/>
      <c r="G156" s="2"/>
      <c r="H156" s="2"/>
      <c r="I156" s="2"/>
      <c r="J156" s="2"/>
    </row>
    <row r="157" spans="3:10" ht="16" customHeight="1" x14ac:dyDescent="0.2">
      <c r="C157" s="2"/>
      <c r="D157" s="2" t="str">
        <f t="shared" si="4"/>
        <v>Low</v>
      </c>
      <c r="E157" s="2"/>
      <c r="F157" s="2"/>
      <c r="G157" s="2"/>
      <c r="H157" s="2"/>
      <c r="I157" s="2"/>
      <c r="J157" s="2"/>
    </row>
    <row r="158" spans="3:10" ht="16" customHeight="1" x14ac:dyDescent="0.2">
      <c r="C158" s="2"/>
      <c r="D158" s="2" t="str">
        <f t="shared" si="4"/>
        <v>Low</v>
      </c>
      <c r="E158" s="2"/>
      <c r="F158" s="2"/>
      <c r="G158" s="2"/>
      <c r="H158" s="2"/>
      <c r="I158" s="2"/>
      <c r="J158" s="2"/>
    </row>
    <row r="159" spans="3:10" ht="16" customHeight="1" x14ac:dyDescent="0.2">
      <c r="C159" s="2"/>
      <c r="D159" s="2" t="str">
        <f t="shared" si="4"/>
        <v>Low</v>
      </c>
      <c r="E159" s="2"/>
      <c r="F159" s="2"/>
      <c r="G159" s="2"/>
      <c r="H159" s="2"/>
      <c r="I159" s="2"/>
      <c r="J159" s="2"/>
    </row>
    <row r="160" spans="3:10" ht="16" customHeight="1" x14ac:dyDescent="0.2">
      <c r="C160" s="2"/>
      <c r="D160" s="2" t="str">
        <f t="shared" si="4"/>
        <v>Low</v>
      </c>
      <c r="E160" s="2"/>
      <c r="F160" s="2"/>
      <c r="G160" s="2"/>
      <c r="H160" s="2"/>
      <c r="I160" s="2"/>
      <c r="J160" s="2"/>
    </row>
    <row r="161" spans="3:10" ht="16" customHeight="1" x14ac:dyDescent="0.2">
      <c r="C161" s="2"/>
      <c r="D161" s="2" t="str">
        <f t="shared" si="4"/>
        <v>Low</v>
      </c>
      <c r="E161" s="2"/>
      <c r="F161" s="2"/>
      <c r="G161" s="2"/>
      <c r="H161" s="2"/>
      <c r="I161" s="2"/>
      <c r="J161" s="2"/>
    </row>
    <row r="162" spans="3:10" ht="16" customHeight="1" x14ac:dyDescent="0.2">
      <c r="C162" s="2"/>
      <c r="D162" s="2" t="str">
        <f t="shared" si="4"/>
        <v>Low</v>
      </c>
      <c r="E162" s="2"/>
      <c r="F162" s="2"/>
      <c r="G162" s="2"/>
      <c r="H162" s="2"/>
      <c r="I162" s="2"/>
      <c r="J162" s="2"/>
    </row>
    <row r="163" spans="3:10" ht="16" customHeight="1" x14ac:dyDescent="0.2">
      <c r="C163" s="2"/>
      <c r="D163" s="2" t="str">
        <f t="shared" si="4"/>
        <v>Low</v>
      </c>
      <c r="E163" s="2"/>
      <c r="F163" s="2"/>
      <c r="G163" s="2"/>
      <c r="H163" s="2"/>
      <c r="I163" s="2"/>
      <c r="J163" s="2"/>
    </row>
    <row r="164" spans="3:10" ht="16" customHeight="1" x14ac:dyDescent="0.2">
      <c r="C164" s="2"/>
      <c r="D164" s="2" t="str">
        <f t="shared" ref="D164:D195" si="5">IF(C164="Rejected","Critical", IF(AND(E164="No",I164="No"),"Critical", IF(J164="No","Critical", IF(OR( C164="Not Started", I164="No", COUNTIF(E164:G164,"No")&gt;=1 ),"High", IF(H164="No","Moderate", IF(OR(J164="To Confirm", I164="To Confirm"),"Moderate", IF(COUNTIF(E164:J164,"To Confirm")=1,"Low", IF(AND(COUNTIF(E164:J164,"Yes")=COUNTA(E164:J164)-COUNTIF(E164:J164,"N/A"),COUNTA(E164:J164)-COUNTIF(E164:J164,"N/A")&gt;0),"Low", IF(COUNTA(E164:J164)-COUNTIF(E164:J164,"N/A")=0,"Low", IF(COUNTIF(E164:J164,"Yes")/(COUNTA(E164:J164)-COUNTIF(E164:J164,"N/A"))&gt;=0.5,"Moderate", "High"))))))))))</f>
        <v>Low</v>
      </c>
      <c r="E164" s="2"/>
      <c r="F164" s="2"/>
      <c r="G164" s="2"/>
      <c r="H164" s="2"/>
      <c r="I164" s="2"/>
      <c r="J164" s="2"/>
    </row>
    <row r="165" spans="3:10" ht="16" customHeight="1" x14ac:dyDescent="0.2">
      <c r="C165" s="2"/>
      <c r="D165" s="2" t="str">
        <f t="shared" si="5"/>
        <v>Low</v>
      </c>
      <c r="E165" s="2"/>
      <c r="F165" s="2"/>
      <c r="G165" s="2"/>
      <c r="H165" s="2"/>
      <c r="I165" s="2"/>
      <c r="J165" s="2"/>
    </row>
    <row r="166" spans="3:10" ht="16" customHeight="1" x14ac:dyDescent="0.2">
      <c r="C166" s="2"/>
      <c r="D166" s="2" t="str">
        <f t="shared" si="5"/>
        <v>Low</v>
      </c>
      <c r="E166" s="2"/>
      <c r="F166" s="2"/>
      <c r="G166" s="2"/>
      <c r="H166" s="2"/>
      <c r="I166" s="2"/>
      <c r="J166" s="2"/>
    </row>
    <row r="167" spans="3:10" ht="16" customHeight="1" x14ac:dyDescent="0.2">
      <c r="C167" s="2"/>
      <c r="D167" s="2" t="str">
        <f t="shared" si="5"/>
        <v>Low</v>
      </c>
      <c r="E167" s="2"/>
      <c r="F167" s="2"/>
      <c r="G167" s="2"/>
      <c r="H167" s="2"/>
      <c r="I167" s="2"/>
      <c r="J167" s="2"/>
    </row>
    <row r="168" spans="3:10" ht="16" customHeight="1" x14ac:dyDescent="0.2">
      <c r="C168" s="2"/>
      <c r="D168" s="2" t="str">
        <f t="shared" si="5"/>
        <v>Low</v>
      </c>
      <c r="E168" s="2"/>
      <c r="F168" s="2"/>
      <c r="G168" s="2"/>
      <c r="H168" s="2"/>
      <c r="I168" s="2"/>
      <c r="J168" s="2"/>
    </row>
    <row r="169" spans="3:10" ht="16" customHeight="1" x14ac:dyDescent="0.2">
      <c r="C169" s="2"/>
      <c r="D169" s="2" t="str">
        <f t="shared" si="5"/>
        <v>Low</v>
      </c>
      <c r="E169" s="2"/>
      <c r="F169" s="2"/>
      <c r="G169" s="2"/>
      <c r="H169" s="2"/>
      <c r="I169" s="2"/>
      <c r="J169" s="2"/>
    </row>
    <row r="170" spans="3:10" ht="16" customHeight="1" x14ac:dyDescent="0.2">
      <c r="C170" s="2"/>
      <c r="D170" s="2" t="str">
        <f t="shared" si="5"/>
        <v>Low</v>
      </c>
      <c r="E170" s="2"/>
      <c r="F170" s="2"/>
      <c r="G170" s="2"/>
      <c r="H170" s="2"/>
      <c r="I170" s="2"/>
      <c r="J170" s="2"/>
    </row>
    <row r="171" spans="3:10" ht="16" customHeight="1" x14ac:dyDescent="0.2">
      <c r="C171" s="2"/>
      <c r="D171" s="2" t="str">
        <f t="shared" si="5"/>
        <v>Low</v>
      </c>
      <c r="E171" s="2"/>
      <c r="F171" s="2"/>
      <c r="G171" s="2"/>
      <c r="H171" s="2"/>
      <c r="I171" s="2"/>
      <c r="J171" s="2"/>
    </row>
    <row r="172" spans="3:10" ht="16" customHeight="1" x14ac:dyDescent="0.2">
      <c r="C172" s="2"/>
      <c r="D172" s="2" t="str">
        <f t="shared" si="5"/>
        <v>Low</v>
      </c>
      <c r="E172" s="2"/>
      <c r="F172" s="2"/>
      <c r="G172" s="2"/>
      <c r="H172" s="2"/>
      <c r="I172" s="2"/>
      <c r="J172" s="2"/>
    </row>
    <row r="173" spans="3:10" ht="16" customHeight="1" x14ac:dyDescent="0.2">
      <c r="C173" s="2"/>
      <c r="D173" s="2" t="str">
        <f t="shared" si="5"/>
        <v>Low</v>
      </c>
      <c r="E173" s="2"/>
      <c r="F173" s="2"/>
      <c r="G173" s="2"/>
      <c r="H173" s="2"/>
      <c r="I173" s="2"/>
      <c r="J173" s="2"/>
    </row>
    <row r="174" spans="3:10" ht="16" customHeight="1" x14ac:dyDescent="0.2">
      <c r="C174" s="2"/>
      <c r="D174" s="2" t="str">
        <f t="shared" si="5"/>
        <v>Low</v>
      </c>
      <c r="E174" s="2"/>
      <c r="F174" s="2"/>
      <c r="G174" s="2"/>
      <c r="H174" s="2"/>
      <c r="I174" s="2"/>
      <c r="J174" s="2"/>
    </row>
    <row r="175" spans="3:10" ht="16" customHeight="1" x14ac:dyDescent="0.2">
      <c r="C175" s="2"/>
      <c r="D175" s="2" t="str">
        <f t="shared" si="5"/>
        <v>Low</v>
      </c>
      <c r="E175" s="2"/>
      <c r="F175" s="2"/>
      <c r="G175" s="2"/>
      <c r="H175" s="2"/>
      <c r="I175" s="2"/>
      <c r="J175" s="2"/>
    </row>
    <row r="176" spans="3:10" ht="16" customHeight="1" x14ac:dyDescent="0.2">
      <c r="C176" s="2"/>
      <c r="D176" s="2" t="str">
        <f t="shared" si="5"/>
        <v>Low</v>
      </c>
      <c r="E176" s="2"/>
      <c r="F176" s="2"/>
      <c r="G176" s="2"/>
      <c r="H176" s="2"/>
      <c r="I176" s="2"/>
      <c r="J176" s="2"/>
    </row>
    <row r="177" spans="3:10" ht="16" customHeight="1" x14ac:dyDescent="0.2">
      <c r="C177" s="2"/>
      <c r="D177" s="2" t="str">
        <f t="shared" si="5"/>
        <v>Low</v>
      </c>
      <c r="E177" s="2"/>
      <c r="F177" s="2"/>
      <c r="G177" s="2"/>
      <c r="H177" s="2"/>
      <c r="I177" s="2"/>
      <c r="J177" s="2"/>
    </row>
    <row r="178" spans="3:10" ht="16" customHeight="1" x14ac:dyDescent="0.2">
      <c r="C178" s="2"/>
      <c r="D178" s="2" t="str">
        <f t="shared" si="5"/>
        <v>Low</v>
      </c>
      <c r="E178" s="2"/>
      <c r="F178" s="2"/>
      <c r="G178" s="2"/>
      <c r="H178" s="2"/>
      <c r="I178" s="2"/>
      <c r="J178" s="2"/>
    </row>
    <row r="179" spans="3:10" ht="16" customHeight="1" x14ac:dyDescent="0.2">
      <c r="C179" s="2"/>
      <c r="D179" s="2" t="str">
        <f t="shared" si="5"/>
        <v>Low</v>
      </c>
      <c r="E179" s="2"/>
      <c r="F179" s="2"/>
      <c r="G179" s="2"/>
      <c r="H179" s="2"/>
      <c r="I179" s="2"/>
      <c r="J179" s="2"/>
    </row>
    <row r="180" spans="3:10" ht="16" customHeight="1" x14ac:dyDescent="0.2">
      <c r="C180" s="2"/>
      <c r="D180" s="2" t="str">
        <f t="shared" si="5"/>
        <v>Low</v>
      </c>
      <c r="E180" s="2"/>
      <c r="F180" s="2"/>
      <c r="G180" s="2"/>
      <c r="H180" s="2"/>
      <c r="I180" s="2"/>
      <c r="J180" s="2"/>
    </row>
    <row r="181" spans="3:10" ht="16" customHeight="1" x14ac:dyDescent="0.2">
      <c r="C181" s="2"/>
      <c r="D181" s="2" t="str">
        <f t="shared" si="5"/>
        <v>Low</v>
      </c>
      <c r="E181" s="2"/>
      <c r="F181" s="2"/>
      <c r="G181" s="2"/>
      <c r="H181" s="2"/>
      <c r="I181" s="2"/>
      <c r="J181" s="2"/>
    </row>
    <row r="182" spans="3:10" ht="16" customHeight="1" x14ac:dyDescent="0.2">
      <c r="C182" s="2"/>
      <c r="D182" s="2" t="str">
        <f t="shared" si="5"/>
        <v>Low</v>
      </c>
      <c r="E182" s="2"/>
      <c r="F182" s="2"/>
      <c r="G182" s="2"/>
      <c r="H182" s="2"/>
      <c r="I182" s="2"/>
      <c r="J182" s="2"/>
    </row>
    <row r="183" spans="3:10" ht="16" customHeight="1" x14ac:dyDescent="0.2">
      <c r="C183" s="2"/>
      <c r="D183" s="2" t="str">
        <f t="shared" si="5"/>
        <v>Low</v>
      </c>
      <c r="E183" s="2"/>
      <c r="F183" s="2"/>
      <c r="G183" s="2"/>
      <c r="H183" s="2"/>
      <c r="I183" s="2"/>
      <c r="J183" s="2"/>
    </row>
    <row r="184" spans="3:10" ht="16" customHeight="1" x14ac:dyDescent="0.2">
      <c r="C184" s="2"/>
      <c r="D184" s="2" t="str">
        <f t="shared" si="5"/>
        <v>Low</v>
      </c>
      <c r="E184" s="2"/>
      <c r="F184" s="2"/>
      <c r="G184" s="2"/>
      <c r="H184" s="2"/>
      <c r="I184" s="2"/>
      <c r="J184" s="2"/>
    </row>
    <row r="185" spans="3:10" ht="16" customHeight="1" x14ac:dyDescent="0.2">
      <c r="C185" s="2"/>
      <c r="D185" s="2" t="str">
        <f t="shared" si="5"/>
        <v>Low</v>
      </c>
      <c r="E185" s="2"/>
      <c r="F185" s="2"/>
      <c r="G185" s="2"/>
      <c r="H185" s="2"/>
      <c r="I185" s="2"/>
      <c r="J185" s="2"/>
    </row>
    <row r="186" spans="3:10" ht="16" customHeight="1" x14ac:dyDescent="0.2">
      <c r="C186" s="2"/>
      <c r="D186" s="2" t="str">
        <f t="shared" si="5"/>
        <v>Low</v>
      </c>
      <c r="E186" s="2"/>
      <c r="F186" s="2"/>
      <c r="G186" s="2"/>
      <c r="H186" s="2"/>
      <c r="I186" s="2"/>
      <c r="J186" s="2"/>
    </row>
    <row r="187" spans="3:10" ht="16" customHeight="1" x14ac:dyDescent="0.2">
      <c r="C187" s="2"/>
      <c r="D187" s="2" t="str">
        <f t="shared" si="5"/>
        <v>Low</v>
      </c>
      <c r="E187" s="2"/>
      <c r="F187" s="2"/>
      <c r="G187" s="2"/>
      <c r="H187" s="2"/>
      <c r="I187" s="2"/>
      <c r="J187" s="2"/>
    </row>
    <row r="188" spans="3:10" ht="16" customHeight="1" x14ac:dyDescent="0.2">
      <c r="C188" s="2"/>
      <c r="D188" s="2" t="str">
        <f t="shared" si="5"/>
        <v>Low</v>
      </c>
      <c r="E188" s="2"/>
      <c r="F188" s="2"/>
      <c r="G188" s="2"/>
      <c r="H188" s="2"/>
      <c r="I188" s="2"/>
      <c r="J188" s="2"/>
    </row>
    <row r="189" spans="3:10" ht="16" customHeight="1" x14ac:dyDescent="0.2">
      <c r="C189" s="2"/>
      <c r="D189" s="2" t="str">
        <f t="shared" si="5"/>
        <v>Low</v>
      </c>
      <c r="E189" s="2"/>
      <c r="F189" s="2"/>
      <c r="G189" s="2"/>
      <c r="H189" s="2"/>
      <c r="I189" s="2"/>
      <c r="J189" s="2"/>
    </row>
    <row r="190" spans="3:10" ht="16" customHeight="1" x14ac:dyDescent="0.2">
      <c r="C190" s="2"/>
      <c r="D190" s="2" t="str">
        <f t="shared" si="5"/>
        <v>Low</v>
      </c>
      <c r="E190" s="2"/>
      <c r="F190" s="2"/>
      <c r="G190" s="2"/>
      <c r="H190" s="2"/>
      <c r="I190" s="2"/>
      <c r="J190" s="2"/>
    </row>
    <row r="191" spans="3:10" ht="16" customHeight="1" x14ac:dyDescent="0.2">
      <c r="C191" s="2"/>
      <c r="D191" s="2" t="str">
        <f t="shared" si="5"/>
        <v>Low</v>
      </c>
      <c r="E191" s="2"/>
      <c r="F191" s="2"/>
      <c r="G191" s="2"/>
      <c r="H191" s="2"/>
      <c r="I191" s="2"/>
      <c r="J191" s="2"/>
    </row>
    <row r="192" spans="3:10" ht="16" customHeight="1" x14ac:dyDescent="0.2">
      <c r="C192" s="2"/>
      <c r="D192" s="2" t="str">
        <f t="shared" si="5"/>
        <v>Low</v>
      </c>
      <c r="E192" s="2"/>
      <c r="F192" s="2"/>
      <c r="G192" s="2"/>
      <c r="H192" s="2"/>
      <c r="I192" s="2"/>
      <c r="J192" s="2"/>
    </row>
    <row r="193" spans="3:10" ht="16" customHeight="1" x14ac:dyDescent="0.2">
      <c r="C193" s="2"/>
      <c r="D193" s="2" t="str">
        <f t="shared" si="5"/>
        <v>Low</v>
      </c>
      <c r="E193" s="2"/>
      <c r="F193" s="2"/>
      <c r="G193" s="2"/>
      <c r="H193" s="2"/>
      <c r="I193" s="2"/>
      <c r="J193" s="2"/>
    </row>
    <row r="194" spans="3:10" ht="16" customHeight="1" x14ac:dyDescent="0.2">
      <c r="C194" s="2"/>
      <c r="D194" s="2" t="str">
        <f t="shared" si="5"/>
        <v>Low</v>
      </c>
      <c r="E194" s="2"/>
      <c r="F194" s="2"/>
      <c r="G194" s="2"/>
      <c r="H194" s="2"/>
      <c r="I194" s="2"/>
      <c r="J194" s="2"/>
    </row>
    <row r="195" spans="3:10" ht="16" customHeight="1" x14ac:dyDescent="0.2">
      <c r="C195" s="2"/>
      <c r="D195" s="2" t="str">
        <f t="shared" si="5"/>
        <v>Low</v>
      </c>
      <c r="E195" s="2"/>
      <c r="F195" s="2"/>
      <c r="G195" s="2"/>
      <c r="H195" s="2"/>
      <c r="I195" s="2"/>
      <c r="J195" s="2"/>
    </row>
    <row r="196" spans="3:10" ht="16" customHeight="1" x14ac:dyDescent="0.2">
      <c r="C196" s="2"/>
      <c r="D196" s="2" t="str">
        <f t="shared" ref="D196:D200" si="6">IF(C196="Rejected","Critical", IF(AND(E196="No",I196="No"),"Critical", IF(J196="No","Critical", IF(OR( C196="Not Started", I196="No", COUNTIF(E196:G196,"No")&gt;=1 ),"High", IF(H196="No","Moderate", IF(OR(J196="To Confirm", I196="To Confirm"),"Moderate", IF(COUNTIF(E196:J196,"To Confirm")=1,"Low", IF(AND(COUNTIF(E196:J196,"Yes")=COUNTA(E196:J196)-COUNTIF(E196:J196,"N/A"),COUNTA(E196:J196)-COUNTIF(E196:J196,"N/A")&gt;0),"Low", IF(COUNTA(E196:J196)-COUNTIF(E196:J196,"N/A")=0,"Low", IF(COUNTIF(E196:J196,"Yes")/(COUNTA(E196:J196)-COUNTIF(E196:J196,"N/A"))&gt;=0.5,"Moderate", "High"))))))))))</f>
        <v>Low</v>
      </c>
      <c r="E196" s="2"/>
      <c r="F196" s="2"/>
      <c r="G196" s="2"/>
      <c r="H196" s="2"/>
      <c r="I196" s="2"/>
      <c r="J196" s="2"/>
    </row>
    <row r="197" spans="3:10" ht="16" customHeight="1" x14ac:dyDescent="0.2">
      <c r="C197" s="2"/>
      <c r="D197" s="2" t="str">
        <f t="shared" si="6"/>
        <v>Low</v>
      </c>
      <c r="E197" s="2"/>
      <c r="F197" s="2"/>
      <c r="G197" s="2"/>
      <c r="H197" s="2"/>
      <c r="I197" s="2"/>
      <c r="J197" s="2"/>
    </row>
    <row r="198" spans="3:10" ht="16" customHeight="1" x14ac:dyDescent="0.2">
      <c r="C198" s="2"/>
      <c r="D198" s="2" t="str">
        <f t="shared" si="6"/>
        <v>Low</v>
      </c>
      <c r="E198" s="2"/>
      <c r="F198" s="2"/>
      <c r="G198" s="2"/>
      <c r="H198" s="2"/>
      <c r="I198" s="2"/>
      <c r="J198" s="2"/>
    </row>
    <row r="199" spans="3:10" ht="16" customHeight="1" x14ac:dyDescent="0.2">
      <c r="C199" s="2"/>
      <c r="D199" s="2" t="str">
        <f t="shared" si="6"/>
        <v>Low</v>
      </c>
      <c r="E199" s="2"/>
      <c r="F199" s="2"/>
      <c r="G199" s="2"/>
      <c r="H199" s="2"/>
      <c r="I199" s="2"/>
      <c r="J199" s="2"/>
    </row>
    <row r="200" spans="3:10" ht="16" customHeight="1" x14ac:dyDescent="0.2">
      <c r="C200" s="2"/>
      <c r="D200" s="2" t="str">
        <f t="shared" si="6"/>
        <v>Low</v>
      </c>
      <c r="E200" s="2"/>
      <c r="F200" s="2"/>
      <c r="G200" s="2"/>
      <c r="H200" s="2"/>
      <c r="I200" s="2"/>
      <c r="J200" s="2"/>
    </row>
  </sheetData>
  <mergeCells count="2">
    <mergeCell ref="A2:L2"/>
    <mergeCell ref="A1:L1"/>
  </mergeCells>
  <conditionalFormatting sqref="D4:D200">
    <cfRule type="cellIs" dxfId="2" priority="1" operator="equal">
      <formula>"Critical"</formula>
    </cfRule>
    <cfRule type="cellIs" dxfId="1" priority="2" operator="equal">
      <formula>"High"</formula>
    </cfRule>
  </conditionalFormatting>
  <dataValidations count="1">
    <dataValidation type="list" allowBlank="1" sqref="E4:J200" xr:uid="{00000000-0002-0000-0800-000000000000}">
      <formula1>"Yes,No,To confirm,N/A"</formula1>
    </dataValidation>
  </dataValidation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10"/>
  <sheetViews>
    <sheetView zoomScale="157" workbookViewId="0">
      <pane xSplit="2" ySplit="3" topLeftCell="C4" activePane="bottomRight" state="frozen"/>
      <selection pane="topRight"/>
      <selection pane="bottomLeft"/>
      <selection pane="bottomRight" activeCell="M10" sqref="M10"/>
    </sheetView>
  </sheetViews>
  <sheetFormatPr baseColWidth="10" defaultColWidth="8.83203125" defaultRowHeight="15" x14ac:dyDescent="0.2"/>
  <cols>
    <col min="1" max="1" width="10" customWidth="1"/>
    <col min="2" max="4" width="20" customWidth="1"/>
    <col min="5" max="6" width="18" customWidth="1"/>
    <col min="7" max="7" width="14" customWidth="1"/>
    <col min="8" max="8" width="16" customWidth="1"/>
    <col min="9" max="9" width="22" customWidth="1"/>
    <col min="10" max="10" width="28" customWidth="1"/>
    <col min="11" max="11" width="40" customWidth="1"/>
    <col min="12" max="12" width="16" customWidth="1"/>
    <col min="13" max="14" width="24" customWidth="1"/>
    <col min="15" max="15" width="32" customWidth="1"/>
  </cols>
  <sheetData>
    <row r="1" spans="1:15" ht="26" customHeight="1" x14ac:dyDescent="0.2">
      <c r="A1" s="9" t="s">
        <v>476</v>
      </c>
      <c r="B1" s="10"/>
      <c r="C1" s="10"/>
      <c r="D1" s="10"/>
      <c r="E1" s="10"/>
      <c r="F1" s="10"/>
      <c r="G1" s="10"/>
      <c r="H1" s="10"/>
      <c r="I1" s="10"/>
      <c r="J1" s="10"/>
      <c r="K1" s="10"/>
      <c r="L1" s="10"/>
      <c r="M1" s="10"/>
      <c r="N1" s="10"/>
      <c r="O1" s="10"/>
    </row>
    <row r="2" spans="1:15" x14ac:dyDescent="0.2">
      <c r="A2" s="11" t="s">
        <v>254</v>
      </c>
      <c r="B2" s="10"/>
      <c r="C2" s="10"/>
      <c r="D2" s="10"/>
      <c r="E2" s="10"/>
      <c r="F2" s="10"/>
      <c r="G2" s="10"/>
      <c r="H2" s="10"/>
      <c r="I2" s="10"/>
      <c r="J2" s="10"/>
      <c r="K2" s="10"/>
      <c r="L2" s="10"/>
      <c r="M2" s="10"/>
      <c r="N2" s="10"/>
      <c r="O2" s="10"/>
    </row>
    <row r="3" spans="1:15" ht="30" customHeight="1" x14ac:dyDescent="0.2">
      <c r="A3" s="1" t="s">
        <v>255</v>
      </c>
      <c r="B3" s="1" t="s">
        <v>257</v>
      </c>
      <c r="C3" s="1" t="s">
        <v>477</v>
      </c>
      <c r="D3" s="1" t="s">
        <v>478</v>
      </c>
      <c r="E3" s="1" t="s">
        <v>479</v>
      </c>
      <c r="F3" s="1" t="s">
        <v>480</v>
      </c>
      <c r="G3" s="1" t="s">
        <v>481</v>
      </c>
      <c r="H3" s="1" t="s">
        <v>482</v>
      </c>
      <c r="I3" s="1" t="s">
        <v>483</v>
      </c>
      <c r="J3" s="1" t="s">
        <v>484</v>
      </c>
      <c r="K3" s="1" t="s">
        <v>485</v>
      </c>
      <c r="L3" s="1" t="s">
        <v>486</v>
      </c>
      <c r="M3" s="1" t="s">
        <v>266</v>
      </c>
      <c r="N3" s="1" t="s">
        <v>267</v>
      </c>
      <c r="O3" s="1" t="s">
        <v>487</v>
      </c>
    </row>
    <row r="4" spans="1:15" ht="32" customHeight="1" x14ac:dyDescent="0.2">
      <c r="A4" s="2" t="str">
        <f>'AI Inventory'!A5</f>
        <v>AI-001</v>
      </c>
      <c r="B4" s="2" t="str">
        <f>'AI Inventory'!C5</f>
        <v>Copilot</v>
      </c>
      <c r="C4" s="2" t="s">
        <v>226</v>
      </c>
      <c r="D4" s="2" t="str">
        <f>IFERROR(IF(INDEX('Vendor &amp; Security'!$D$4:$D$10,MATCH(A4,'Vendor &amp; Security'!$A$4:$A$10,0))="Rejected","Rejected",IF(INDEX('Vendor &amp; Security'!$D$4:$D$10,MATCH(A4,'Vendor &amp; Security'!$A$4:$A$10,0))="Approved","Approved",IF(INDEX('Vendor &amp; Security'!$D$4:$D$10,MATCH(A4,'Vendor &amp; Security'!$A$4:$A$10,0))="Approved with Conditions","Approved with Conditions","Pending"))),"")</f>
        <v>Approved</v>
      </c>
      <c r="E4" s="2" t="str">
        <f>IFERROR(IF(INDEX('Data &amp; Privacy'!$C$4:$C$10,MATCH(A4,'Data &amp; Privacy'!$A$4:$A$10,0))="Rejected","Rejected",IF(INDEX('Data &amp; Privacy'!$C$4:$C$10,MATCH(A4,'Data &amp; Privacy'!$A$4:$A$10,0))="Approved","Approved",IF(INDEX('Data &amp; Privacy'!$C$4:$C$10,MATCH(A4,'Data &amp; Privacy'!$A$4:$A$10,0))="Approved with Conditions","Approved with Conditions","Pending"))),"")</f>
        <v>Pending</v>
      </c>
      <c r="F4" s="2" t="str">
        <f>IFERROR(IF(INDEX('Legal &amp; Compliance'!$C$4:$C$10,MATCH(A4,'Legal &amp; Compliance'!$A$4:$A$10,0))="Rejected","Rejected",IF(INDEX('Legal &amp; Compliance'!$C$4:$C$10,MATCH(A4,'Legal &amp; Compliance'!$A$4:$A$10,0))="Approved","Approved",IF(INDEX('Legal &amp; Compliance'!$C$4:$C$10,MATCH(A4,'Legal &amp; Compliance'!$A$4:$A$10,0))="Approved with Conditions","Approved with Conditions","Pending"))),"")</f>
        <v>Pending</v>
      </c>
      <c r="G4" s="2" t="str">
        <f>IFERROR(IF(OR(INDEX('AI Inventory'!$H$5:$H$11,MATCH(A4,'AI Inventory'!$A$5:$A$11,0))="High",INDEX('AI Inventory'!$H$5:$H$11,MATCH(A4,'AI Inventory'!$A$5:$A$11,0))="Critical"),"Yes","No"),"")</f>
        <v>Yes</v>
      </c>
      <c r="H4" s="2" t="str">
        <f>IF(G4="No","Not Required","Approved")</f>
        <v>Approved</v>
      </c>
      <c r="I4" s="2" t="s">
        <v>488</v>
      </c>
      <c r="J4" s="2" t="str">
        <f>IFERROR(INDEX('AI Inventory'!$R$5:$R$11,MATCH(A4,'AI Inventory'!$A$5:$A$11,0)),"")</f>
        <v>Approved</v>
      </c>
      <c r="K4" s="2" t="s">
        <v>489</v>
      </c>
      <c r="L4" s="4" t="str">
        <f>IF('AI Inventory'!Q5="","",'AI Inventory'!Q5)</f>
        <v/>
      </c>
      <c r="M4" s="2" t="str">
        <f>IF('AI Inventory'!O5="","",'AI Inventory'!O5)</f>
        <v/>
      </c>
      <c r="N4" s="2" t="str">
        <f>IF('AI Inventory'!P5="","",'AI Inventory'!P5)</f>
        <v/>
      </c>
      <c r="O4" s="2" t="str">
        <f>IFERROR(INDEX(Profiles!$G$4:$G$23,MATCH(INDEX('AI Inventory'!$T$5:$T$11,MATCH(A4,'AI Inventory'!$A$5:$A$11,0)),Profiles!$A$4:$A$23,0)),"")</f>
        <v>ITGC</v>
      </c>
    </row>
    <row r="5" spans="1:15" ht="32" customHeight="1" x14ac:dyDescent="0.2">
      <c r="A5" s="2" t="str">
        <f>'AI Inventory'!A6</f>
        <v>AI-002</v>
      </c>
      <c r="B5" s="2" t="str">
        <f>'AI Inventory'!C6</f>
        <v>Claude AI</v>
      </c>
      <c r="C5" s="2" t="s">
        <v>229</v>
      </c>
      <c r="D5" s="2" t="str">
        <f>IFERROR(IF(INDEX('Vendor &amp; Security'!$D$4:$D$10,MATCH(A5,'Vendor &amp; Security'!$A$4:$A$10,0))="Rejected","Rejected",IF(INDEX('Vendor &amp; Security'!$D$4:$D$10,MATCH(A5,'Vendor &amp; Security'!$A$4:$A$10,0))="Approved","Approved",IF(INDEX('Vendor &amp; Security'!$D$4:$D$10,MATCH(A5,'Vendor &amp; Security'!$A$4:$A$10,0))="Approved with Conditions","Approved with Conditions","Pending"))),"")</f>
        <v>Approved</v>
      </c>
      <c r="E5" s="2" t="str">
        <f>IFERROR(IF(INDEX('Data &amp; Privacy'!$C$4:$C$10,MATCH(A5,'Data &amp; Privacy'!$A$4:$A$10,0))="Rejected","Rejected",IF(INDEX('Data &amp; Privacy'!$C$4:$C$10,MATCH(A5,'Data &amp; Privacy'!$A$4:$A$10,0))="Approved","Approved",IF(INDEX('Data &amp; Privacy'!$C$4:$C$10,MATCH(A5,'Data &amp; Privacy'!$A$4:$A$10,0))="Approved with Conditions","Approved with Conditions","Pending"))),"")</f>
        <v>Pending</v>
      </c>
      <c r="F5" s="2" t="str">
        <f>IFERROR(IF(INDEX('Legal &amp; Compliance'!$C$4:$C$10,MATCH(A5,'Legal &amp; Compliance'!$A$4:$A$10,0))="Rejected","Rejected",IF(INDEX('Legal &amp; Compliance'!$C$4:$C$10,MATCH(A5,'Legal &amp; Compliance'!$A$4:$A$10,0))="Approved","Approved",IF(INDEX('Legal &amp; Compliance'!$C$4:$C$10,MATCH(A5,'Legal &amp; Compliance'!$A$4:$A$10,0))="Approved with Conditions","Approved with Conditions","Pending"))),"")</f>
        <v>Pending</v>
      </c>
      <c r="G5" s="2" t="str">
        <f>IFERROR(IF(OR(INDEX('AI Inventory'!$H$5:$H$11,MATCH(A5,'AI Inventory'!$A$5:$A$11,0))="High",INDEX('AI Inventory'!$H$5:$H$11,MATCH(A5,'AI Inventory'!$A$5:$A$11,0))="Critical"),"Yes","No"),"")</f>
        <v>No</v>
      </c>
      <c r="H5" s="2" t="str">
        <f>IF(G5="No","Not Required","Approved")</f>
        <v>Not Required</v>
      </c>
      <c r="I5" s="2" t="s">
        <v>488</v>
      </c>
      <c r="J5" s="2" t="str">
        <f>IFERROR(INDEX('AI Inventory'!$R$5:$R$11,MATCH(A5,'AI Inventory'!$A$5:$A$11,0)),"")</f>
        <v>Approved with Conditions</v>
      </c>
      <c r="K5" s="2" t="s">
        <v>489</v>
      </c>
      <c r="L5" s="4" t="str">
        <f>IF('AI Inventory'!Q6="","",'AI Inventory'!Q6)</f>
        <v/>
      </c>
      <c r="M5" s="2" t="str">
        <f>IF('AI Inventory'!O6="","",'AI Inventory'!O6)</f>
        <v/>
      </c>
      <c r="N5" s="2" t="str">
        <f>IF('AI Inventory'!P6="","",'AI Inventory'!P6)</f>
        <v/>
      </c>
      <c r="O5" s="2" t="str">
        <f>IFERROR(INDEX(Profiles!$G$4:$G$23,MATCH(INDEX('AI Inventory'!$T$5:$T$11,MATCH(A5,'AI Inventory'!$A$5:$A$11,0)),Profiles!$A$4:$A$23,0)),"")</f>
        <v>IT Security and Business Owner</v>
      </c>
    </row>
    <row r="6" spans="1:15" ht="16" customHeight="1" x14ac:dyDescent="0.2">
      <c r="A6" s="2" t="str">
        <f>'AI Inventory'!A7</f>
        <v>AI-003</v>
      </c>
      <c r="B6" s="2" t="str">
        <f>'AI Inventory'!C7</f>
        <v>JMP Learnbot</v>
      </c>
      <c r="C6" s="2" t="s">
        <v>226</v>
      </c>
      <c r="D6" s="2" t="str">
        <f>IFERROR(IF(INDEX('Vendor &amp; Security'!$D$4:$D$10,MATCH(A6,'Vendor &amp; Security'!$A$4:$A$10,0))="Rejected","Rejected",IF(INDEX('Vendor &amp; Security'!$D$4:$D$10,MATCH(A6,'Vendor &amp; Security'!$A$4:$A$10,0))="Approved","Approved",IF(INDEX('Vendor &amp; Security'!$D$4:$D$10,MATCH(A6,'Vendor &amp; Security'!$A$4:$A$10,0))="Approved with Conditions","Approved with Conditions","Pending"))),"")</f>
        <v>Approved</v>
      </c>
      <c r="E6" s="2" t="str">
        <f>IFERROR(IF(INDEX('Data &amp; Privacy'!$C$4:$C$10,MATCH(A6,'Data &amp; Privacy'!$A$4:$A$10,0))="Rejected","Rejected",IF(INDEX('Data &amp; Privacy'!$C$4:$C$10,MATCH(A6,'Data &amp; Privacy'!$A$4:$A$10,0))="Approved","Approved",IF(INDEX('Data &amp; Privacy'!$C$4:$C$10,MATCH(A6,'Data &amp; Privacy'!$A$4:$A$10,0))="Approved with Conditions","Approved with Conditions","Pending"))),"")</f>
        <v>Approved</v>
      </c>
      <c r="F6" s="2" t="str">
        <f>IFERROR(IF(INDEX('Legal &amp; Compliance'!$C$4:$C$10,MATCH(A6,'Legal &amp; Compliance'!$A$4:$A$10,0))="Rejected","Rejected",IF(INDEX('Legal &amp; Compliance'!$C$4:$C$10,MATCH(A6,'Legal &amp; Compliance'!$A$4:$A$10,0))="Approved","Approved",IF(INDEX('Legal &amp; Compliance'!$C$4:$C$10,MATCH(A6,'Legal &amp; Compliance'!$A$4:$A$10,0))="Approved with Conditions","Approved with Conditions","Pending"))),"")</f>
        <v>Approved</v>
      </c>
      <c r="G6" s="2" t="str">
        <f>IFERROR(IF(OR(INDEX('AI Inventory'!$H$5:$H$11,MATCH(A6,'AI Inventory'!$A$5:$A$11,0))="High",INDEX('AI Inventory'!$H$5:$H$11,MATCH(A6,'AI Inventory'!$A$5:$A$11,0))="Critical"),"Yes","No"),"")</f>
        <v>No</v>
      </c>
      <c r="H6" s="2" t="str">
        <f>IF(G6="No","Not Required","Approved")</f>
        <v>Not Required</v>
      </c>
      <c r="I6" s="2" t="s">
        <v>488</v>
      </c>
      <c r="J6" s="2" t="str">
        <f>IFERROR(INDEX('AI Inventory'!$R$5:$R$11,MATCH(A6,'AI Inventory'!$A$5:$A$11,0)),"")</f>
        <v>Approved</v>
      </c>
      <c r="K6" s="2" t="s">
        <v>490</v>
      </c>
      <c r="L6" s="4" t="str">
        <f>IF('AI Inventory'!Q7="","",'AI Inventory'!Q7)</f>
        <v>2026-06-04 00:00:00</v>
      </c>
      <c r="M6" s="2" t="str">
        <f>IF('AI Inventory'!O7="","",'AI Inventory'!O7)</f>
        <v>[Contact-1]@organization.local</v>
      </c>
      <c r="N6" s="2" t="str">
        <f>IF('AI Inventory'!P7="","",'AI Inventory'!P7)</f>
        <v>IT Security and ITGC</v>
      </c>
      <c r="O6" s="2" t="str">
        <f>IFERROR(INDEX(Profiles!$G$4:$G$23,MATCH(INDEX('AI Inventory'!$T$5:$T$11,MATCH(A6,'AI Inventory'!$A$5:$A$11,0)),Profiles!$A$4:$A$23,0)),"")</f>
        <v>IT Security and Business Owner</v>
      </c>
    </row>
    <row r="7" spans="1:15" ht="48" customHeight="1" x14ac:dyDescent="0.2">
      <c r="A7" s="2" t="str">
        <f>'AI Inventory'!A8</f>
        <v>AI-004</v>
      </c>
      <c r="B7" s="2" t="str">
        <f>'AI Inventory'!C8</f>
        <v>Synthesia</v>
      </c>
      <c r="C7" s="2" t="s">
        <v>491</v>
      </c>
      <c r="D7" s="2" t="str">
        <f>IFERROR(IF(INDEX('Vendor &amp; Security'!$D$4:$D$10,MATCH(A7,'Vendor &amp; Security'!$A$4:$A$10,0))="Rejected","Rejected",IF(INDEX('Vendor &amp; Security'!$D$4:$D$10,MATCH(A7,'Vendor &amp; Security'!$A$4:$A$10,0))="Approved","Approved",IF(INDEX('Vendor &amp; Security'!$D$4:$D$10,MATCH(A7,'Vendor &amp; Security'!$A$4:$A$10,0))="Approved with Conditions","Approved with Conditions","Pending"))),"")</f>
        <v>Approved</v>
      </c>
      <c r="E7" s="2" t="str">
        <f>IFERROR(IF(INDEX('Data &amp; Privacy'!$C$4:$C$10,MATCH(A7,'Data &amp; Privacy'!$A$4:$A$10,0))="Rejected","Rejected",IF(INDEX('Data &amp; Privacy'!$C$4:$C$10,MATCH(A7,'Data &amp; Privacy'!$A$4:$A$10,0))="Approved","Approved",IF(INDEX('Data &amp; Privacy'!$C$4:$C$10,MATCH(A7,'Data &amp; Privacy'!$A$4:$A$10,0))="Approved with Conditions","Approved with Conditions","Pending"))),"")</f>
        <v>Pending</v>
      </c>
      <c r="F7" s="2" t="str">
        <f>IFERROR(IF(INDEX('Legal &amp; Compliance'!$C$4:$C$10,MATCH(A7,'Legal &amp; Compliance'!$A$4:$A$10,0))="Rejected","Rejected",IF(INDEX('Legal &amp; Compliance'!$C$4:$C$10,MATCH(A7,'Legal &amp; Compliance'!$A$4:$A$10,0))="Approved","Approved",IF(INDEX('Legal &amp; Compliance'!$C$4:$C$10,MATCH(A7,'Legal &amp; Compliance'!$A$4:$A$10,0))="Approved with Conditions","Approved with Conditions","Pending"))),"")</f>
        <v>Approved</v>
      </c>
      <c r="G7" s="2" t="str">
        <f>IFERROR(IF(OR(INDEX('AI Inventory'!$H$5:$H$11,MATCH(A7,'AI Inventory'!$A$5:$A$11,0))="High",INDEX('AI Inventory'!$H$5:$H$11,MATCH(A7,'AI Inventory'!$A$5:$A$11,0))="Critical"),"Yes","No"),"")</f>
        <v>No</v>
      </c>
      <c r="H7" s="2" t="str">
        <f>IF(G7="No","Not Required","Not Submitted")</f>
        <v>Not Required</v>
      </c>
      <c r="I7" s="2" t="s">
        <v>488</v>
      </c>
      <c r="J7" s="2" t="str">
        <f>IFERROR(INDEX('AI Inventory'!$R$5:$R$11,MATCH(A7,'AI Inventory'!$A$5:$A$11,0)),"")</f>
        <v>Pending / Needs Documentation</v>
      </c>
      <c r="K7" s="2" t="s">
        <v>489</v>
      </c>
      <c r="L7" s="4" t="str">
        <f>IF('AI Inventory'!Q8="","",'AI Inventory'!Q8)</f>
        <v/>
      </c>
      <c r="M7" s="2" t="str">
        <f>IF('AI Inventory'!O8="","",'AI Inventory'!O8)</f>
        <v>[Contact-2]@organization.local</v>
      </c>
      <c r="N7" s="2" t="str">
        <f>IF('AI Inventory'!P8="","",'AI Inventory'!P8)</f>
        <v>IT Security</v>
      </c>
      <c r="O7" s="2" t="str">
        <f>IFERROR(INDEX(Profiles!$G$4:$G$23,MATCH(INDEX('AI Inventory'!$T$5:$T$11,MATCH(A7,'AI Inventory'!$A$5:$A$11,0)),Profiles!$A$4:$A$23,0)),"")</f>
        <v>ITGC with Legal review (external-facing); IT Security and Business Owner (internal only)</v>
      </c>
    </row>
    <row r="8" spans="1:15" ht="32" customHeight="1" x14ac:dyDescent="0.2">
      <c r="A8" s="2" t="str">
        <f>'AI Inventory'!A9</f>
        <v>AI-005</v>
      </c>
      <c r="B8" s="2" t="str">
        <f>'AI Inventory'!C9</f>
        <v>Levy AI</v>
      </c>
      <c r="C8" s="2" t="s">
        <v>491</v>
      </c>
      <c r="D8" s="2" t="str">
        <f>IFERROR(IF(INDEX('Vendor &amp; Security'!$D$4:$D$10,MATCH(A8,'Vendor &amp; Security'!$A$4:$A$10,0))="Rejected","Rejected",IF(INDEX('Vendor &amp; Security'!$D$4:$D$10,MATCH(A8,'Vendor &amp; Security'!$A$4:$A$10,0))="Approved","Approved",IF(INDEX('Vendor &amp; Security'!$D$4:$D$10,MATCH(A8,'Vendor &amp; Security'!$A$4:$A$10,0))="Approved with Conditions","Approved with Conditions","Pending"))),"")</f>
        <v>Pending</v>
      </c>
      <c r="E8" s="2" t="str">
        <f>IFERROR(IF(INDEX('Data &amp; Privacy'!$C$4:$C$10,MATCH(A8,'Data &amp; Privacy'!$A$4:$A$10,0))="Rejected","Rejected",IF(INDEX('Data &amp; Privacy'!$C$4:$C$10,MATCH(A8,'Data &amp; Privacy'!$A$4:$A$10,0))="Approved","Approved",IF(INDEX('Data &amp; Privacy'!$C$4:$C$10,MATCH(A8,'Data &amp; Privacy'!$A$4:$A$10,0))="Approved with Conditions","Approved with Conditions","Pending"))),"")</f>
        <v>Pending</v>
      </c>
      <c r="F8" s="2" t="str">
        <f>IFERROR(IF(INDEX('Legal &amp; Compliance'!$C$4:$C$10,MATCH(A8,'Legal &amp; Compliance'!$A$4:$A$10,0))="Rejected","Rejected",IF(INDEX('Legal &amp; Compliance'!$C$4:$C$10,MATCH(A8,'Legal &amp; Compliance'!$A$4:$A$10,0))="Approved","Approved",IF(INDEX('Legal &amp; Compliance'!$C$4:$C$10,MATCH(A8,'Legal &amp; Compliance'!$A$4:$A$10,0))="Approved with Conditions","Approved with Conditions","Pending"))),"")</f>
        <v>Pending</v>
      </c>
      <c r="G8" s="2" t="str">
        <f>IFERROR(IF(OR(INDEX('AI Inventory'!$H$5:$H$11,MATCH(A8,'AI Inventory'!$A$5:$A$11,0))="High",INDEX('AI Inventory'!$H$5:$H$11,MATCH(A8,'AI Inventory'!$A$5:$A$11,0))="Critical"),"Yes","No"),"")</f>
        <v>Yes</v>
      </c>
      <c r="H8" s="2" t="str">
        <f>IF(G8="No","Not Required","Not Submitted")</f>
        <v>Not Submitted</v>
      </c>
      <c r="I8" s="2" t="s">
        <v>488</v>
      </c>
      <c r="J8" s="2" t="str">
        <f>IFERROR(INDEX('AI Inventory'!$R$5:$R$11,MATCH(A8,'AI Inventory'!$A$5:$A$11,0)),"")</f>
        <v>Pending / Needs Documentation</v>
      </c>
      <c r="K8" s="2" t="s">
        <v>489</v>
      </c>
      <c r="L8" s="4" t="str">
        <f>IF('AI Inventory'!Q9="","",'AI Inventory'!Q9)</f>
        <v/>
      </c>
      <c r="M8" s="2" t="str">
        <f>IF('AI Inventory'!O9="","",'AI Inventory'!O9)</f>
        <v>[Contact-3]@organization.local</v>
      </c>
      <c r="N8" s="2" t="str">
        <f>IF('AI Inventory'!P9="","",'AI Inventory'!P9)</f>
        <v>IT Security</v>
      </c>
      <c r="O8" s="2" t="str">
        <f>IFERROR(INDEX(Profiles!$G$4:$G$23,MATCH(INDEX('AI Inventory'!$T$5:$T$11,MATCH(A8,'AI Inventory'!$A$5:$A$11,0)),Profiles!$A$4:$A$23,0)),"")</f>
        <v>ITGC</v>
      </c>
    </row>
    <row r="9" spans="1:15" ht="48" customHeight="1" x14ac:dyDescent="0.2">
      <c r="A9" s="2" t="str">
        <f>'AI Inventory'!A10</f>
        <v>AI-006</v>
      </c>
      <c r="B9" s="2" t="str">
        <f>'AI Inventory'!C10</f>
        <v>Startreck.AI</v>
      </c>
      <c r="C9" s="2" t="s">
        <v>230</v>
      </c>
      <c r="D9" s="2" t="str">
        <f>IFERROR(IF(INDEX('Vendor &amp; Security'!$D$4:$D$10,MATCH(A9,'Vendor &amp; Security'!$A$4:$A$10,0))="Rejected","Rejected",IF(INDEX('Vendor &amp; Security'!$D$4:$D$10,MATCH(A9,'Vendor &amp; Security'!$A$4:$A$10,0))="Approved","Approved",IF(INDEX('Vendor &amp; Security'!$D$4:$D$10,MATCH(A9,'Vendor &amp; Security'!$A$4:$A$10,0))="Approved with Conditions","Approved with Conditions","Pending"))),"")</f>
        <v>Rejected</v>
      </c>
      <c r="E9" s="2" t="str">
        <f>IFERROR(IF(INDEX('Data &amp; Privacy'!$C$4:$C$10,MATCH(A9,'Data &amp; Privacy'!$A$4:$A$10,0))="Rejected","Rejected",IF(INDEX('Data &amp; Privacy'!$C$4:$C$10,MATCH(A9,'Data &amp; Privacy'!$A$4:$A$10,0))="Approved","Approved",IF(INDEX('Data &amp; Privacy'!$C$4:$C$10,MATCH(A9,'Data &amp; Privacy'!$A$4:$A$10,0))="Approved with Conditions","Approved with Conditions","Pending"))),"")</f>
        <v>Pending</v>
      </c>
      <c r="F9" s="2" t="str">
        <f>IFERROR(IF(INDEX('Legal &amp; Compliance'!$C$4:$C$10,MATCH(A9,'Legal &amp; Compliance'!$A$4:$A$10,0))="Rejected","Rejected",IF(INDEX('Legal &amp; Compliance'!$C$4:$C$10,MATCH(A9,'Legal &amp; Compliance'!$A$4:$A$10,0))="Approved","Approved",IF(INDEX('Legal &amp; Compliance'!$C$4:$C$10,MATCH(A9,'Legal &amp; Compliance'!$A$4:$A$10,0))="Approved with Conditions","Approved with Conditions","Pending"))),"")</f>
        <v>Rejected</v>
      </c>
      <c r="G9" s="2" t="str">
        <f>IFERROR(IF(OR(INDEX('AI Inventory'!$H$5:$H$11,MATCH(A9,'AI Inventory'!$A$5:$A$11,0))="High",INDEX('AI Inventory'!$H$5:$H$11,MATCH(A9,'AI Inventory'!$A$5:$A$11,0))="Critical"),"Yes","No"),"")</f>
        <v>Yes</v>
      </c>
      <c r="H9" s="2" t="str">
        <f>IF(G9="No","Not Required","Rejected")</f>
        <v>Rejected</v>
      </c>
      <c r="I9" s="2" t="s">
        <v>488</v>
      </c>
      <c r="J9" s="2" t="str">
        <f>IFERROR(INDEX('AI Inventory'!$R$5:$R$11,MATCH(A9,'AI Inventory'!$A$5:$A$11,0)),"")</f>
        <v>Rejected</v>
      </c>
      <c r="K9" s="2" t="s">
        <v>489</v>
      </c>
      <c r="L9" s="4" t="str">
        <f>IF('AI Inventory'!Q10="","",'AI Inventory'!Q10)</f>
        <v/>
      </c>
      <c r="M9" s="2" t="str">
        <f>IF('AI Inventory'!O10="","",'AI Inventory'!O10)</f>
        <v>[Contact-4]@organization.local</v>
      </c>
      <c r="N9" s="2" t="str">
        <f>IF('AI Inventory'!P10="","",'AI Inventory'!P10)</f>
        <v>IT Security and ITGC</v>
      </c>
      <c r="O9" s="2" t="str">
        <f>IFERROR(INDEX(Profiles!$G$4:$G$23,MATCH(INDEX('AI Inventory'!$T$5:$T$11,MATCH(A9,'AI Inventory'!$A$5:$A$11,0)),Profiles!$A$4:$A$23,0)),"")</f>
        <v>ITGC with Legal review (external-facing); IT Security and Business Owner (internal only)</v>
      </c>
    </row>
    <row r="10" spans="1:15" ht="48" customHeight="1" x14ac:dyDescent="0.2">
      <c r="A10" s="2" t="str">
        <f>'AI Inventory'!A11</f>
        <v>AI-007</v>
      </c>
      <c r="B10" s="2" t="str">
        <f>'AI Inventory'!C11</f>
        <v>Potential Hazard Navigator</v>
      </c>
      <c r="C10" s="2" t="s">
        <v>226</v>
      </c>
      <c r="D10" s="2" t="str">
        <f>IFERROR(IF(INDEX('Vendor &amp; Security'!$D$4:$D$10,MATCH(A10,'Vendor &amp; Security'!$A$4:$A$10,0))="Rejected","Rejected",IF(INDEX('Vendor &amp; Security'!$D$4:$D$10,MATCH(A10,'Vendor &amp; Security'!$A$4:$A$10,0))="Approved","Approved",IF(INDEX('Vendor &amp; Security'!$D$4:$D$10,MATCH(A10,'Vendor &amp; Security'!$A$4:$A$10,0))="Approved with Conditions","Approved with Conditions","Pending"))),"")</f>
        <v>Approved</v>
      </c>
      <c r="E10" s="2" t="str">
        <f>IFERROR(IF(INDEX('Data &amp; Privacy'!$C$4:$C$10,MATCH(A10,'Data &amp; Privacy'!$A$4:$A$10,0))="Rejected","Rejected",IF(INDEX('Data &amp; Privacy'!$C$4:$C$10,MATCH(A10,'Data &amp; Privacy'!$A$4:$A$10,0))="Approved","Approved",IF(INDEX('Data &amp; Privacy'!$C$4:$C$10,MATCH(A10,'Data &amp; Privacy'!$A$4:$A$10,0))="Approved with Conditions","Approved with Conditions","Pending"))),"")</f>
        <v>Pending</v>
      </c>
      <c r="F10" s="2" t="str">
        <f>IFERROR(IF(INDEX('Legal &amp; Compliance'!$C$4:$C$10,MATCH(A10,'Legal &amp; Compliance'!$A$4:$A$10,0))="Rejected","Rejected",IF(INDEX('Legal &amp; Compliance'!$C$4:$C$10,MATCH(A10,'Legal &amp; Compliance'!$A$4:$A$10,0))="Approved","Approved",IF(INDEX('Legal &amp; Compliance'!$C$4:$C$10,MATCH(A10,'Legal &amp; Compliance'!$A$4:$A$10,0))="Approved with Conditions","Approved with Conditions","Pending"))),"")</f>
        <v>Approved with Conditions</v>
      </c>
      <c r="G10" s="2" t="str">
        <f>IFERROR(IF(OR(INDEX('AI Inventory'!$H$5:$H$11,MATCH(A10,'AI Inventory'!$A$5:$A$11,0))="High",INDEX('AI Inventory'!$H$5:$H$11,MATCH(A10,'AI Inventory'!$A$5:$A$11,0))="Critical"),"Yes","No"),"")</f>
        <v>Yes</v>
      </c>
      <c r="H10" s="2" t="str">
        <f>IF(G10="No","Not Required","Approved")</f>
        <v>Approved</v>
      </c>
      <c r="I10" s="2" t="s">
        <v>488</v>
      </c>
      <c r="J10" s="2" t="str">
        <f>IFERROR(INDEX('AI Inventory'!$R$5:$R$11,MATCH(A10,'AI Inventory'!$A$5:$A$11,0)),"")</f>
        <v>Approved</v>
      </c>
      <c r="K10" s="2" t="s">
        <v>492</v>
      </c>
      <c r="L10" s="4" t="str">
        <f>IF('AI Inventory'!Q11="","",'AI Inventory'!Q11)</f>
        <v>2025-12-05 00:00:00</v>
      </c>
      <c r="M10" s="2" t="str">
        <f>IF('AI Inventory'!O11="","",'AI Inventory'!O11)</f>
        <v>[Contact-4]@organization.local</v>
      </c>
      <c r="N10" s="2" t="str">
        <f>IF('AI Inventory'!P11="","",'AI Inventory'!P11)</f>
        <v>IT</v>
      </c>
      <c r="O10" s="2" t="str">
        <f>IFERROR(INDEX(Profiles!$G$4:$G$23,MATCH(INDEX('AI Inventory'!$T$5:$T$11,MATCH(A10,'AI Inventory'!$A$5:$A$11,0)),Profiles!$A$4:$A$23,0)),"")</f>
        <v>IT Security and Business Owner</v>
      </c>
    </row>
  </sheetData>
  <mergeCells count="2">
    <mergeCell ref="A1:O1"/>
    <mergeCell ref="A2:O2"/>
  </mergeCells>
  <conditionalFormatting sqref="H4:H10">
    <cfRule type="expression" dxfId="0" priority="1">
      <formula>H4="Not Required"</formula>
    </cfRule>
  </conditionalFormatting>
  <dataValidations count="3">
    <dataValidation type="list" allowBlank="1" sqref="C4:C10" xr:uid="{00000000-0002-0000-0900-000000000000}">
      <formula1>"Pending,Approved,Approved with Conditions,Rejected"</formula1>
    </dataValidation>
    <dataValidation type="list" allowBlank="1" sqref="G4:G10" xr:uid="{00000000-0002-0000-0900-000001000000}">
      <formula1>"Yes,No"</formula1>
    </dataValidation>
    <dataValidation type="list" allowBlank="1" sqref="I4:I10" xr:uid="{00000000-0002-0000-0900-000002000000}">
      <formula1>"Pending,Approved,Not Established"</formula1>
    </dataValidation>
  </dataValidation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10"/>
  <sheetViews>
    <sheetView zoomScale="163" workbookViewId="0">
      <pane xSplit="2" ySplit="3" topLeftCell="C4" activePane="bottomRight" state="frozen"/>
      <selection pane="topRight"/>
      <selection pane="bottomLeft"/>
      <selection pane="bottomRight" activeCell="B7" sqref="B7"/>
    </sheetView>
  </sheetViews>
  <sheetFormatPr baseColWidth="10" defaultColWidth="8.83203125" defaultRowHeight="15" x14ac:dyDescent="0.2"/>
  <cols>
    <col min="1" max="1" width="10" customWidth="1"/>
    <col min="2" max="2" width="20" customWidth="1"/>
    <col min="3" max="3" width="18" customWidth="1"/>
    <col min="4" max="4" width="16" customWidth="1"/>
    <col min="5" max="5" width="18" customWidth="1"/>
    <col min="6" max="6" width="16" customWidth="1"/>
    <col min="7" max="7" width="30" customWidth="1"/>
    <col min="8" max="8" width="22" customWidth="1"/>
    <col min="9" max="9" width="30" customWidth="1"/>
    <col min="10" max="10" width="26" customWidth="1"/>
    <col min="11" max="11" width="32" customWidth="1"/>
    <col min="12" max="12" width="16" customWidth="1"/>
    <col min="13" max="15" width="18" customWidth="1"/>
    <col min="16" max="16" width="28" customWidth="1"/>
    <col min="17" max="17" width="44" customWidth="1"/>
  </cols>
  <sheetData>
    <row r="1" spans="1:17" ht="26" customHeight="1" x14ac:dyDescent="0.2">
      <c r="A1" s="9" t="s">
        <v>493</v>
      </c>
      <c r="B1" s="10"/>
      <c r="C1" s="10"/>
      <c r="D1" s="10"/>
      <c r="E1" s="10"/>
      <c r="F1" s="10"/>
      <c r="G1" s="10"/>
      <c r="H1" s="10"/>
      <c r="I1" s="10"/>
      <c r="J1" s="10"/>
      <c r="K1" s="10"/>
      <c r="L1" s="10"/>
      <c r="M1" s="10"/>
      <c r="N1" s="10"/>
      <c r="O1" s="10"/>
      <c r="P1" s="10"/>
      <c r="Q1" s="10"/>
    </row>
    <row r="3" spans="1:17" ht="30" customHeight="1" x14ac:dyDescent="0.2">
      <c r="A3" s="1" t="s">
        <v>255</v>
      </c>
      <c r="B3" s="1" t="s">
        <v>257</v>
      </c>
      <c r="C3" s="1" t="s">
        <v>494</v>
      </c>
      <c r="D3" s="1" t="s">
        <v>495</v>
      </c>
      <c r="E3" s="1" t="s">
        <v>496</v>
      </c>
      <c r="F3" s="1" t="s">
        <v>497</v>
      </c>
      <c r="G3" s="1" t="s">
        <v>498</v>
      </c>
      <c r="H3" s="1" t="s">
        <v>499</v>
      </c>
      <c r="I3" s="1" t="s">
        <v>500</v>
      </c>
      <c r="J3" s="1" t="s">
        <v>501</v>
      </c>
      <c r="K3" s="1" t="s">
        <v>502</v>
      </c>
      <c r="L3" s="1" t="s">
        <v>11</v>
      </c>
      <c r="M3" s="1" t="s">
        <v>503</v>
      </c>
      <c r="N3" s="1" t="s">
        <v>504</v>
      </c>
      <c r="O3" s="1" t="s">
        <v>505</v>
      </c>
      <c r="P3" s="1" t="s">
        <v>506</v>
      </c>
      <c r="Q3" s="1" t="s">
        <v>507</v>
      </c>
    </row>
    <row r="4" spans="1:17" ht="16" customHeight="1" x14ac:dyDescent="0.2">
      <c r="A4" s="2" t="str">
        <f>'AI Inventory'!A5</f>
        <v>AI-001</v>
      </c>
      <c r="B4" s="2" t="str">
        <f>'AI Inventory'!C5</f>
        <v>Copilot</v>
      </c>
      <c r="C4" s="2" t="s">
        <v>282</v>
      </c>
      <c r="D4" s="2" t="s">
        <v>282</v>
      </c>
      <c r="E4" s="2" t="s">
        <v>282</v>
      </c>
      <c r="F4" s="2" t="s">
        <v>282</v>
      </c>
      <c r="G4" s="2" t="s">
        <v>508</v>
      </c>
      <c r="H4" s="2" t="s">
        <v>509</v>
      </c>
      <c r="I4" s="2" t="s">
        <v>510</v>
      </c>
      <c r="J4" s="2" t="s">
        <v>511</v>
      </c>
      <c r="K4" s="2" t="s">
        <v>512</v>
      </c>
      <c r="L4" s="2" t="s">
        <v>40</v>
      </c>
      <c r="M4" s="2"/>
      <c r="N4" s="4" t="str">
        <f t="shared" ref="N4:N10" si="0">IF(M4&lt;&gt;"",EDATE(M4,12),"")</f>
        <v/>
      </c>
      <c r="O4" s="2" t="str">
        <f t="shared" ref="O4:O10" ca="1" si="1">IF(N4="","Not Scheduled",IF(N4&lt;TODAY(),"Overdue","Current"))</f>
        <v>Not Scheduled</v>
      </c>
      <c r="P4" s="2" t="str">
        <f>IFERROR(INDEX(Profiles!$J$4:$J$23,MATCH(INDEX('AI Inventory'!$T$5:$T$11,MATCH(A4,'AI Inventory'!$A$5:$A$11,0)),Profiles!$A$4:$A$23,0)),"")</f>
        <v>Semiannual</v>
      </c>
      <c r="Q4" s="2" t="str">
        <f t="shared" ref="Q4:Q10" si="2">IF(P4="",L4,"More frequent of "&amp;L4&amp;" and "&amp;P4)</f>
        <v>More frequent of Annual and Semiannual</v>
      </c>
    </row>
    <row r="5" spans="1:17" ht="16" customHeight="1" x14ac:dyDescent="0.2">
      <c r="A5" s="2" t="str">
        <f>'AI Inventory'!A6</f>
        <v>AI-002</v>
      </c>
      <c r="B5" s="2" t="str">
        <f>'AI Inventory'!C6</f>
        <v>Claude AI</v>
      </c>
      <c r="C5" s="2" t="s">
        <v>282</v>
      </c>
      <c r="D5" s="2" t="s">
        <v>282</v>
      </c>
      <c r="E5" s="2" t="s">
        <v>282</v>
      </c>
      <c r="F5" s="2" t="s">
        <v>513</v>
      </c>
      <c r="G5" s="2" t="s">
        <v>356</v>
      </c>
      <c r="H5" s="2" t="s">
        <v>509</v>
      </c>
      <c r="I5" s="2" t="s">
        <v>510</v>
      </c>
      <c r="J5" s="2" t="s">
        <v>511</v>
      </c>
      <c r="K5" s="2" t="s">
        <v>512</v>
      </c>
      <c r="L5" s="2" t="s">
        <v>40</v>
      </c>
      <c r="M5" s="2"/>
      <c r="N5" s="4" t="str">
        <f t="shared" si="0"/>
        <v/>
      </c>
      <c r="O5" s="2" t="str">
        <f t="shared" ca="1" si="1"/>
        <v>Not Scheduled</v>
      </c>
      <c r="P5" s="2" t="str">
        <f>IFERROR(INDEX(Profiles!$J$4:$J$23,MATCH(INDEX('AI Inventory'!$T$5:$T$11,MATCH(A5,'AI Inventory'!$A$5:$A$11,0)),Profiles!$A$4:$A$23,0)),"")</f>
        <v>At conclusion, or annually</v>
      </c>
      <c r="Q5" s="2" t="str">
        <f t="shared" si="2"/>
        <v>More frequent of Annual and At conclusion, or annually</v>
      </c>
    </row>
    <row r="6" spans="1:17" ht="16" customHeight="1" x14ac:dyDescent="0.2">
      <c r="A6" s="2" t="str">
        <f>'AI Inventory'!A7</f>
        <v>AI-003</v>
      </c>
      <c r="B6" s="2" t="str">
        <f>'AI Inventory'!C7</f>
        <v>JMP Learnbot</v>
      </c>
      <c r="C6" s="2" t="s">
        <v>282</v>
      </c>
      <c r="D6" s="2" t="s">
        <v>282</v>
      </c>
      <c r="E6" s="2" t="s">
        <v>282</v>
      </c>
      <c r="F6" s="2" t="s">
        <v>513</v>
      </c>
      <c r="G6" s="2" t="s">
        <v>356</v>
      </c>
      <c r="H6" s="2" t="s">
        <v>509</v>
      </c>
      <c r="I6" s="2" t="s">
        <v>510</v>
      </c>
      <c r="J6" s="2" t="s">
        <v>514</v>
      </c>
      <c r="K6" s="2" t="s">
        <v>515</v>
      </c>
      <c r="L6" s="2" t="s">
        <v>40</v>
      </c>
      <c r="M6" s="4" t="s">
        <v>300</v>
      </c>
      <c r="N6" s="4">
        <f t="shared" si="0"/>
        <v>46542</v>
      </c>
      <c r="O6" s="2" t="str">
        <f t="shared" ca="1" si="1"/>
        <v>Current</v>
      </c>
      <c r="P6" s="2" t="str">
        <f>IFERROR(INDEX(Profiles!$J$4:$J$23,MATCH(INDEX('AI Inventory'!$T$5:$T$11,MATCH(A6,'AI Inventory'!$A$5:$A$11,0)),Profiles!$A$4:$A$23,0)),"")</f>
        <v>Annual</v>
      </c>
      <c r="Q6" s="2" t="str">
        <f t="shared" si="2"/>
        <v>More frequent of Annual and Annual</v>
      </c>
    </row>
    <row r="7" spans="1:17" ht="32" customHeight="1" x14ac:dyDescent="0.2">
      <c r="A7" s="2" t="str">
        <f>'AI Inventory'!A8</f>
        <v>AI-004</v>
      </c>
      <c r="B7" s="2" t="str">
        <f>'AI Inventory'!C8</f>
        <v>Synthesia</v>
      </c>
      <c r="C7" s="2" t="s">
        <v>282</v>
      </c>
      <c r="D7" s="2" t="s">
        <v>282</v>
      </c>
      <c r="E7" s="2" t="s">
        <v>282</v>
      </c>
      <c r="F7" s="2" t="s">
        <v>282</v>
      </c>
      <c r="G7" s="2" t="s">
        <v>516</v>
      </c>
      <c r="H7" s="2" t="s">
        <v>509</v>
      </c>
      <c r="I7" s="2" t="s">
        <v>510</v>
      </c>
      <c r="J7" s="2" t="s">
        <v>511</v>
      </c>
      <c r="K7" s="2" t="s">
        <v>512</v>
      </c>
      <c r="L7" s="2" t="s">
        <v>40</v>
      </c>
      <c r="M7" s="2"/>
      <c r="N7" s="4" t="str">
        <f t="shared" si="0"/>
        <v/>
      </c>
      <c r="O7" s="2" t="str">
        <f t="shared" ca="1" si="1"/>
        <v>Not Scheduled</v>
      </c>
      <c r="P7" s="2" t="str">
        <f>IFERROR(INDEX(Profiles!$J$4:$J$23,MATCH(INDEX('AI Inventory'!$T$5:$T$11,MATCH(A7,'AI Inventory'!$A$5:$A$11,0)),Profiles!$A$4:$A$23,0)),"")</f>
        <v>Semiannual; Quarterly if external-facing</v>
      </c>
      <c r="Q7" s="2" t="str">
        <f t="shared" si="2"/>
        <v>More frequent of Annual and Semiannual; Quarterly if external-facing</v>
      </c>
    </row>
    <row r="8" spans="1:17" ht="32" customHeight="1" x14ac:dyDescent="0.2">
      <c r="A8" s="2" t="str">
        <f>'AI Inventory'!A9</f>
        <v>AI-005</v>
      </c>
      <c r="B8" s="2" t="str">
        <f>'AI Inventory'!C9</f>
        <v>Levy AI</v>
      </c>
      <c r="C8" s="2" t="s">
        <v>282</v>
      </c>
      <c r="D8" s="2" t="s">
        <v>282</v>
      </c>
      <c r="E8" s="2" t="s">
        <v>282</v>
      </c>
      <c r="F8" s="2" t="s">
        <v>282</v>
      </c>
      <c r="G8" s="2" t="s">
        <v>356</v>
      </c>
      <c r="H8" s="2" t="s">
        <v>517</v>
      </c>
      <c r="I8" s="2" t="s">
        <v>510</v>
      </c>
      <c r="J8" s="2" t="s">
        <v>511</v>
      </c>
      <c r="K8" s="2" t="s">
        <v>512</v>
      </c>
      <c r="L8" s="2" t="s">
        <v>40</v>
      </c>
      <c r="M8" s="2"/>
      <c r="N8" s="4" t="str">
        <f t="shared" si="0"/>
        <v/>
      </c>
      <c r="O8" s="2" t="str">
        <f t="shared" ca="1" si="1"/>
        <v>Not Scheduled</v>
      </c>
      <c r="P8" s="2" t="str">
        <f>IFERROR(INDEX(Profiles!$J$4:$J$23,MATCH(INDEX('AI Inventory'!$T$5:$T$11,MATCH(A8,'AI Inventory'!$A$5:$A$11,0)),Profiles!$A$4:$A$23,0)),"")</f>
        <v>Quarterly</v>
      </c>
      <c r="Q8" s="2" t="str">
        <f t="shared" si="2"/>
        <v>More frequent of Annual and Quarterly</v>
      </c>
    </row>
    <row r="9" spans="1:17" ht="32" customHeight="1" x14ac:dyDescent="0.2">
      <c r="A9" s="2" t="str">
        <f>'AI Inventory'!A10</f>
        <v>AI-006</v>
      </c>
      <c r="B9" s="2" t="str">
        <f>'AI Inventory'!C10</f>
        <v>Startreck.AI</v>
      </c>
      <c r="C9" s="2" t="s">
        <v>282</v>
      </c>
      <c r="D9" s="2" t="s">
        <v>292</v>
      </c>
      <c r="E9" s="2" t="s">
        <v>292</v>
      </c>
      <c r="F9" s="2" t="s">
        <v>292</v>
      </c>
      <c r="G9" s="2" t="s">
        <v>516</v>
      </c>
      <c r="H9" s="2" t="s">
        <v>509</v>
      </c>
      <c r="I9" s="2" t="s">
        <v>510</v>
      </c>
      <c r="J9" s="2" t="s">
        <v>511</v>
      </c>
      <c r="K9" s="2" t="s">
        <v>512</v>
      </c>
      <c r="L9" s="2" t="s">
        <v>518</v>
      </c>
      <c r="M9" s="2"/>
      <c r="N9" s="4" t="str">
        <f t="shared" si="0"/>
        <v/>
      </c>
      <c r="O9" s="2" t="str">
        <f t="shared" ca="1" si="1"/>
        <v>Not Scheduled</v>
      </c>
      <c r="P9" s="2" t="str">
        <f>IFERROR(INDEX(Profiles!$J$4:$J$23,MATCH(INDEX('AI Inventory'!$T$5:$T$11,MATCH(A9,'AI Inventory'!$A$5:$A$11,0)),Profiles!$A$4:$A$23,0)),"")</f>
        <v>Semiannual; Quarterly if external-facing</v>
      </c>
      <c r="Q9" s="2" t="str">
        <f t="shared" si="2"/>
        <v>More frequent of Upon Material Change and Semiannual; Quarterly if external-facing</v>
      </c>
    </row>
    <row r="10" spans="1:17" ht="48" customHeight="1" x14ac:dyDescent="0.2">
      <c r="A10" s="2" t="str">
        <f>'AI Inventory'!A11</f>
        <v>AI-007</v>
      </c>
      <c r="B10" s="2" t="str">
        <f>'AI Inventory'!C11</f>
        <v>Potential Hazard Navigator</v>
      </c>
      <c r="C10" s="2" t="s">
        <v>282</v>
      </c>
      <c r="D10" s="2" t="s">
        <v>282</v>
      </c>
      <c r="E10" s="2" t="s">
        <v>282</v>
      </c>
      <c r="F10" s="2" t="s">
        <v>282</v>
      </c>
      <c r="G10" s="2" t="s">
        <v>356</v>
      </c>
      <c r="H10" s="2" t="s">
        <v>519</v>
      </c>
      <c r="I10" s="2" t="s">
        <v>510</v>
      </c>
      <c r="J10" s="2" t="s">
        <v>520</v>
      </c>
      <c r="K10" s="2" t="s">
        <v>521</v>
      </c>
      <c r="L10" s="2" t="s">
        <v>56</v>
      </c>
      <c r="M10" s="4" t="s">
        <v>323</v>
      </c>
      <c r="N10" s="4">
        <f t="shared" si="0"/>
        <v>46361</v>
      </c>
      <c r="O10" s="2" t="str">
        <f t="shared" ca="1" si="1"/>
        <v>Current</v>
      </c>
      <c r="P10" s="2" t="str">
        <f>IFERROR(INDEX(Profiles!$J$4:$J$23,MATCH(INDEX('AI Inventory'!$T$5:$T$11,MATCH(A10,'AI Inventory'!$A$5:$A$11,0)),Profiles!$A$4:$A$23,0)),"")</f>
        <v>At conclusion, or annually</v>
      </c>
      <c r="Q10" s="2" t="str">
        <f t="shared" si="2"/>
        <v>More frequent of Quarterly and At conclusion, or annually</v>
      </c>
    </row>
  </sheetData>
  <mergeCells count="1">
    <mergeCell ref="A1:Q1"/>
  </mergeCells>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23"/>
  <sheetViews>
    <sheetView workbookViewId="0">
      <pane ySplit="3" topLeftCell="A4" activePane="bottomLeft" state="frozen"/>
      <selection pane="bottomLeft" activeCell="J4" sqref="J4"/>
    </sheetView>
  </sheetViews>
  <sheetFormatPr baseColWidth="10" defaultColWidth="8.83203125" defaultRowHeight="15" x14ac:dyDescent="0.2"/>
  <cols>
    <col min="1" max="1" width="22" customWidth="1"/>
    <col min="2" max="2" width="16" customWidth="1"/>
    <col min="3" max="3" width="32" customWidth="1"/>
    <col min="4" max="4" width="16" customWidth="1"/>
    <col min="5" max="5" width="12" customWidth="1"/>
    <col min="6" max="6" width="24" customWidth="1"/>
    <col min="7" max="7" width="10" customWidth="1"/>
    <col min="8" max="8" width="22" customWidth="1"/>
    <col min="9" max="9" width="26" customWidth="1"/>
    <col min="10" max="10" width="44.33203125" customWidth="1"/>
    <col min="11" max="11" width="34" customWidth="1"/>
    <col min="12" max="12" width="50" customWidth="1"/>
    <col min="13" max="13" width="46" customWidth="1"/>
    <col min="14" max="14" width="22" customWidth="1"/>
    <col min="15" max="15" width="50" customWidth="1"/>
    <col min="16" max="16" width="32" customWidth="1"/>
  </cols>
  <sheetData>
    <row r="1" spans="1:16" ht="26" customHeight="1" x14ac:dyDescent="0.2">
      <c r="A1" s="9" t="s">
        <v>522</v>
      </c>
      <c r="B1" s="10"/>
      <c r="C1" s="10"/>
      <c r="D1" s="10"/>
      <c r="E1" s="10"/>
      <c r="F1" s="10"/>
      <c r="G1" s="10"/>
      <c r="H1" s="10"/>
      <c r="I1" s="10"/>
      <c r="J1" s="10"/>
      <c r="K1" s="10"/>
      <c r="L1" s="10"/>
      <c r="M1" s="10"/>
      <c r="N1" s="10"/>
      <c r="O1" s="10"/>
      <c r="P1" s="10"/>
    </row>
    <row r="3" spans="1:16" ht="30" customHeight="1" x14ac:dyDescent="0.2">
      <c r="A3" s="1" t="s">
        <v>223</v>
      </c>
      <c r="B3" s="1" t="s">
        <v>212</v>
      </c>
      <c r="C3" s="1" t="s">
        <v>225</v>
      </c>
      <c r="D3" s="1" t="s">
        <v>523</v>
      </c>
      <c r="E3" s="1" t="s">
        <v>524</v>
      </c>
      <c r="F3" s="1" t="s">
        <v>11</v>
      </c>
      <c r="G3" s="1" t="s">
        <v>191</v>
      </c>
      <c r="H3" s="1" t="s">
        <v>7</v>
      </c>
      <c r="I3" s="1" t="s">
        <v>217</v>
      </c>
      <c r="J3" s="1" t="s">
        <v>525</v>
      </c>
      <c r="K3" s="1" t="s">
        <v>526</v>
      </c>
      <c r="L3" s="1" t="s">
        <v>527</v>
      </c>
      <c r="M3" s="1" t="s">
        <v>528</v>
      </c>
      <c r="N3" s="1" t="s">
        <v>529</v>
      </c>
      <c r="O3" s="1" t="s">
        <v>530</v>
      </c>
      <c r="P3" s="1" t="s">
        <v>531</v>
      </c>
    </row>
    <row r="4" spans="1:16" ht="64" customHeight="1" x14ac:dyDescent="0.2">
      <c r="A4" s="2" t="s">
        <v>224</v>
      </c>
      <c r="B4" s="2" t="s">
        <v>213</v>
      </c>
      <c r="C4" s="2" t="s">
        <v>532</v>
      </c>
      <c r="D4" s="2" t="s">
        <v>533</v>
      </c>
      <c r="E4" s="2" t="s">
        <v>282</v>
      </c>
      <c r="F4" s="2" t="s">
        <v>40</v>
      </c>
      <c r="G4" s="2" t="s">
        <v>13</v>
      </c>
      <c r="H4" s="2" t="s">
        <v>29</v>
      </c>
      <c r="I4" s="2" t="s">
        <v>218</v>
      </c>
      <c r="J4" s="2" t="s">
        <v>534</v>
      </c>
      <c r="K4" s="2" t="s">
        <v>232</v>
      </c>
      <c r="L4" s="2" t="s">
        <v>535</v>
      </c>
      <c r="M4" s="2" t="s">
        <v>536</v>
      </c>
      <c r="N4" s="2" t="s">
        <v>384</v>
      </c>
      <c r="O4" s="2" t="s">
        <v>537</v>
      </c>
      <c r="P4" s="2" t="s">
        <v>407</v>
      </c>
    </row>
    <row r="5" spans="1:16" ht="64" customHeight="1" x14ac:dyDescent="0.2">
      <c r="A5" s="2" t="s">
        <v>27</v>
      </c>
      <c r="B5" s="2" t="s">
        <v>28</v>
      </c>
      <c r="C5" s="2" t="s">
        <v>227</v>
      </c>
      <c r="D5" s="2" t="s">
        <v>538</v>
      </c>
      <c r="E5" s="2" t="s">
        <v>292</v>
      </c>
      <c r="F5" s="2" t="s">
        <v>22</v>
      </c>
      <c r="G5" s="2" t="s">
        <v>24</v>
      </c>
      <c r="H5" s="2" t="s">
        <v>539</v>
      </c>
      <c r="I5" s="2" t="s">
        <v>219</v>
      </c>
      <c r="J5" s="2" t="s">
        <v>540</v>
      </c>
      <c r="K5" s="2" t="s">
        <v>233</v>
      </c>
      <c r="L5" s="2" t="s">
        <v>541</v>
      </c>
      <c r="M5" s="2" t="s">
        <v>542</v>
      </c>
      <c r="N5" s="2" t="s">
        <v>247</v>
      </c>
      <c r="O5" s="2" t="s">
        <v>543</v>
      </c>
      <c r="P5" s="2" t="s">
        <v>474</v>
      </c>
    </row>
    <row r="6" spans="1:16" ht="64" customHeight="1" x14ac:dyDescent="0.2">
      <c r="A6" s="2" t="s">
        <v>16</v>
      </c>
      <c r="B6" s="2" t="s">
        <v>17</v>
      </c>
      <c r="C6" s="2" t="s">
        <v>228</v>
      </c>
      <c r="D6" s="2" t="s">
        <v>544</v>
      </c>
      <c r="E6" s="2" t="s">
        <v>545</v>
      </c>
      <c r="F6" s="2" t="s">
        <v>56</v>
      </c>
      <c r="G6" s="2" t="s">
        <v>35</v>
      </c>
      <c r="H6" s="2" t="s">
        <v>546</v>
      </c>
      <c r="I6" s="2" t="s">
        <v>220</v>
      </c>
      <c r="J6" s="2" t="s">
        <v>547</v>
      </c>
      <c r="K6" s="2" t="s">
        <v>234</v>
      </c>
      <c r="L6" s="2" t="s">
        <v>548</v>
      </c>
      <c r="M6" s="2" t="s">
        <v>549</v>
      </c>
      <c r="N6" s="2" t="s">
        <v>248</v>
      </c>
      <c r="O6" s="2" t="s">
        <v>550</v>
      </c>
      <c r="P6" s="2" t="s">
        <v>551</v>
      </c>
    </row>
    <row r="7" spans="1:16" ht="64" customHeight="1" x14ac:dyDescent="0.2">
      <c r="A7" s="2" t="s">
        <v>69</v>
      </c>
      <c r="B7" s="2" t="s">
        <v>70</v>
      </c>
      <c r="C7" s="2" t="s">
        <v>226</v>
      </c>
      <c r="D7" s="2" t="s">
        <v>552</v>
      </c>
      <c r="E7" s="2" t="s">
        <v>553</v>
      </c>
      <c r="F7" s="2" t="s">
        <v>518</v>
      </c>
      <c r="G7" s="2" t="s">
        <v>42</v>
      </c>
      <c r="I7" s="2" t="s">
        <v>221</v>
      </c>
      <c r="J7" s="2" t="s">
        <v>554</v>
      </c>
      <c r="K7" s="2" t="s">
        <v>235</v>
      </c>
      <c r="L7" s="2" t="s">
        <v>555</v>
      </c>
      <c r="M7" s="2" t="s">
        <v>556</v>
      </c>
      <c r="N7" s="2" t="s">
        <v>249</v>
      </c>
      <c r="O7" s="2" t="s">
        <v>557</v>
      </c>
      <c r="P7" s="2" t="s">
        <v>558</v>
      </c>
    </row>
    <row r="8" spans="1:16" ht="48" customHeight="1" x14ac:dyDescent="0.2">
      <c r="C8" s="2" t="s">
        <v>229</v>
      </c>
      <c r="D8" s="2" t="s">
        <v>559</v>
      </c>
      <c r="G8" s="2" t="s">
        <v>49</v>
      </c>
      <c r="I8" s="2" t="s">
        <v>222</v>
      </c>
      <c r="J8" s="2" t="s">
        <v>560</v>
      </c>
      <c r="K8" s="2" t="s">
        <v>236</v>
      </c>
      <c r="L8" s="2" t="s">
        <v>561</v>
      </c>
      <c r="M8" s="2" t="s">
        <v>562</v>
      </c>
      <c r="N8" s="2" t="s">
        <v>250</v>
      </c>
      <c r="O8" s="2" t="s">
        <v>563</v>
      </c>
      <c r="P8" s="2" t="s">
        <v>226</v>
      </c>
    </row>
    <row r="9" spans="1:16" ht="32" customHeight="1" x14ac:dyDescent="0.2">
      <c r="C9" s="2" t="s">
        <v>230</v>
      </c>
      <c r="G9" s="2" t="s">
        <v>58</v>
      </c>
      <c r="K9" s="2" t="s">
        <v>237</v>
      </c>
      <c r="L9" s="2" t="s">
        <v>564</v>
      </c>
      <c r="M9" s="2" t="s">
        <v>565</v>
      </c>
      <c r="N9" s="2" t="s">
        <v>251</v>
      </c>
      <c r="O9" s="2" t="s">
        <v>566</v>
      </c>
      <c r="P9" s="2" t="s">
        <v>229</v>
      </c>
    </row>
    <row r="10" spans="1:16" ht="32" customHeight="1" x14ac:dyDescent="0.2">
      <c r="C10" s="2" t="s">
        <v>559</v>
      </c>
      <c r="G10" s="2" t="s">
        <v>66</v>
      </c>
      <c r="K10" s="2" t="s">
        <v>238</v>
      </c>
      <c r="L10" s="2" t="s">
        <v>567</v>
      </c>
      <c r="M10" s="2" t="s">
        <v>568</v>
      </c>
      <c r="P10" s="2" t="s">
        <v>230</v>
      </c>
    </row>
    <row r="11" spans="1:16" ht="16" customHeight="1" x14ac:dyDescent="0.2">
      <c r="G11" s="2" t="s">
        <v>76</v>
      </c>
      <c r="K11" s="2" t="s">
        <v>239</v>
      </c>
      <c r="L11" s="2" t="s">
        <v>569</v>
      </c>
      <c r="M11" s="2" t="s">
        <v>570</v>
      </c>
    </row>
    <row r="12" spans="1:16" ht="16" customHeight="1" x14ac:dyDescent="0.2">
      <c r="G12" s="2" t="s">
        <v>85</v>
      </c>
      <c r="K12" s="2" t="s">
        <v>240</v>
      </c>
      <c r="L12" s="2" t="s">
        <v>571</v>
      </c>
      <c r="M12" s="2" t="s">
        <v>572</v>
      </c>
    </row>
    <row r="13" spans="1:16" ht="16" customHeight="1" x14ac:dyDescent="0.2">
      <c r="G13" s="2" t="s">
        <v>93</v>
      </c>
      <c r="K13" s="2" t="s">
        <v>241</v>
      </c>
      <c r="L13" s="2" t="s">
        <v>573</v>
      </c>
      <c r="M13" s="2" t="s">
        <v>574</v>
      </c>
    </row>
    <row r="14" spans="1:16" ht="16" customHeight="1" x14ac:dyDescent="0.2">
      <c r="G14" s="2" t="s">
        <v>99</v>
      </c>
      <c r="K14" s="2" t="s">
        <v>242</v>
      </c>
      <c r="L14" s="2" t="s">
        <v>575</v>
      </c>
      <c r="M14" s="2" t="s">
        <v>576</v>
      </c>
    </row>
    <row r="15" spans="1:16" ht="32" customHeight="1" x14ac:dyDescent="0.2">
      <c r="G15" s="2" t="s">
        <v>106</v>
      </c>
      <c r="K15" s="2" t="s">
        <v>243</v>
      </c>
      <c r="L15" s="2" t="s">
        <v>577</v>
      </c>
      <c r="M15" s="2" t="s">
        <v>578</v>
      </c>
    </row>
    <row r="16" spans="1:16" ht="16" customHeight="1" x14ac:dyDescent="0.2">
      <c r="G16" s="2" t="s">
        <v>113</v>
      </c>
      <c r="K16" s="2" t="s">
        <v>244</v>
      </c>
      <c r="L16" s="2" t="s">
        <v>579</v>
      </c>
      <c r="M16" s="2" t="s">
        <v>580</v>
      </c>
    </row>
    <row r="17" spans="7:7" ht="16" customHeight="1" x14ac:dyDescent="0.2">
      <c r="G17" s="2" t="s">
        <v>122</v>
      </c>
    </row>
    <row r="18" spans="7:7" ht="16" customHeight="1" x14ac:dyDescent="0.2">
      <c r="G18" s="2" t="s">
        <v>129</v>
      </c>
    </row>
    <row r="19" spans="7:7" ht="16" customHeight="1" x14ac:dyDescent="0.2">
      <c r="G19" s="2" t="s">
        <v>136</v>
      </c>
    </row>
    <row r="20" spans="7:7" ht="16" customHeight="1" x14ac:dyDescent="0.2">
      <c r="G20" s="2" t="s">
        <v>143</v>
      </c>
    </row>
    <row r="21" spans="7:7" ht="16" customHeight="1" x14ac:dyDescent="0.2">
      <c r="G21" s="2" t="s">
        <v>149</v>
      </c>
    </row>
    <row r="22" spans="7:7" ht="16" customHeight="1" x14ac:dyDescent="0.2">
      <c r="G22" s="2" t="s">
        <v>160</v>
      </c>
    </row>
    <row r="23" spans="7:7" ht="16" customHeight="1" x14ac:dyDescent="0.2">
      <c r="G23" s="2" t="s">
        <v>167</v>
      </c>
    </row>
  </sheetData>
  <mergeCells count="1">
    <mergeCell ref="A1:P1"/>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AI Inventory</vt:lpstr>
      <vt:lpstr>Profiles</vt:lpstr>
      <vt:lpstr>Profile Selection</vt:lpstr>
      <vt:lpstr>Risk Assessment</vt:lpstr>
      <vt:lpstr>Risk &amp; Harm Assessment</vt:lpstr>
      <vt:lpstr>Data &amp; Privacy</vt:lpstr>
      <vt:lpstr>Vendor &amp; Security</vt:lpstr>
      <vt:lpstr>Legal &amp; Compliance</vt:lpstr>
      <vt:lpstr>Approval Workflow</vt:lpstr>
      <vt:lpstr>Monitoring</vt:lpstr>
      <vt:lpstr>Reference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Raul Dusa</dc:creator>
  <cp:keywords/>
  <dc:description>A simple positive comment makes the day!</dc:description>
  <cp:lastModifiedBy>Raul Dusa</cp:lastModifiedBy>
  <dcterms:created xsi:type="dcterms:W3CDTF">2026-08-11T20:43:40Z</dcterms:created>
  <dcterms:modified xsi:type="dcterms:W3CDTF">2026-08-28T17:02:23Z</dcterms:modified>
  <cp:category/>
</cp:coreProperties>
</file>